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al Asghar\Downloads\Office Automation\Excel\"/>
    </mc:Choice>
  </mc:AlternateContent>
  <xr:revisionPtr revIDLastSave="0" documentId="13_ncr:1_{A40629A8-AEEA-4793-AB91-10503E294762}" xr6:coauthVersionLast="47" xr6:coauthVersionMax="47" xr10:uidLastSave="{00000000-0000-0000-0000-000000000000}"/>
  <bookViews>
    <workbookView xWindow="-120" yWindow="-120" windowWidth="21840" windowHeight="13140" xr2:uid="{DF34E393-3245-4C21-9598-BA5F4027E52C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2" l="1"/>
  <c r="K22" i="2"/>
  <c r="J22" i="2"/>
  <c r="I22" i="2"/>
  <c r="H22" i="2"/>
  <c r="G22" i="2"/>
  <c r="F22" i="2"/>
  <c r="E22" i="2"/>
  <c r="D22" i="2"/>
  <c r="C22" i="2"/>
  <c r="B22" i="2"/>
  <c r="E4" i="3"/>
  <c r="E5" i="3"/>
  <c r="E6" i="3"/>
  <c r="E7" i="3"/>
  <c r="E3" i="3"/>
  <c r="E26" i="1"/>
  <c r="L5" i="2"/>
  <c r="L6" i="2"/>
  <c r="L7" i="2"/>
  <c r="L8" i="2"/>
  <c r="L9" i="2"/>
  <c r="L10" i="2"/>
  <c r="L11" i="2"/>
  <c r="L12" i="2"/>
  <c r="L13" i="2"/>
  <c r="L4" i="2"/>
  <c r="H5" i="2"/>
  <c r="H6" i="2"/>
  <c r="H7" i="2"/>
  <c r="H8" i="2"/>
  <c r="H9" i="2"/>
  <c r="H10" i="2"/>
  <c r="H11" i="2"/>
  <c r="H12" i="2"/>
  <c r="H13" i="2"/>
  <c r="H4" i="2"/>
  <c r="J5" i="2"/>
  <c r="K5" i="2" s="1"/>
  <c r="J6" i="2"/>
  <c r="J7" i="2"/>
  <c r="J8" i="2"/>
  <c r="K8" i="2" s="1"/>
  <c r="J9" i="2"/>
  <c r="K9" i="2" s="1"/>
  <c r="J10" i="2"/>
  <c r="J11" i="2"/>
  <c r="J12" i="2"/>
  <c r="K12" i="2" s="1"/>
  <c r="J13" i="2"/>
  <c r="K13" i="2" s="1"/>
  <c r="J4" i="2"/>
  <c r="K4" i="2" s="1"/>
  <c r="K6" i="2"/>
  <c r="K7" i="2"/>
  <c r="K10" i="2"/>
  <c r="K11" i="2"/>
  <c r="E25" i="1"/>
  <c r="C23" i="1"/>
  <c r="C22" i="1"/>
  <c r="C21" i="1"/>
  <c r="C20" i="1"/>
  <c r="C19" i="1"/>
</calcChain>
</file>

<file path=xl/sharedStrings.xml><?xml version="1.0" encoding="utf-8"?>
<sst xmlns="http://schemas.openxmlformats.org/spreadsheetml/2006/main" count="83" uniqueCount="63">
  <si>
    <t>MARKSHEET</t>
  </si>
  <si>
    <t>S.NO</t>
  </si>
  <si>
    <t>NAME</t>
  </si>
  <si>
    <t>SUBJECTS</t>
  </si>
  <si>
    <t>TOTAL MARKS</t>
  </si>
  <si>
    <t>OBTAINED MARKS</t>
  </si>
  <si>
    <t>REMARKS</t>
  </si>
  <si>
    <t>ALI</t>
  </si>
  <si>
    <t>MATHS</t>
  </si>
  <si>
    <t>EXCELLENT</t>
  </si>
  <si>
    <t>UMAIR</t>
  </si>
  <si>
    <t>ENGLISH</t>
  </si>
  <si>
    <t>V.GOOD</t>
  </si>
  <si>
    <t>KAZI</t>
  </si>
  <si>
    <t>SCIENCE</t>
  </si>
  <si>
    <t>OUTSTANDING</t>
  </si>
  <si>
    <t>REHAN</t>
  </si>
  <si>
    <t>URDU</t>
  </si>
  <si>
    <t>TALHA</t>
  </si>
  <si>
    <t>PST</t>
  </si>
  <si>
    <t>Test1</t>
  </si>
  <si>
    <t>Test2</t>
  </si>
  <si>
    <t>Test3</t>
  </si>
  <si>
    <t>Test4</t>
  </si>
  <si>
    <t>Test5</t>
  </si>
  <si>
    <t>Marks</t>
  </si>
  <si>
    <t>Total Marks</t>
  </si>
  <si>
    <t>Test no.</t>
  </si>
  <si>
    <t>Average</t>
  </si>
  <si>
    <t>Minimum</t>
  </si>
  <si>
    <t>Maximum</t>
  </si>
  <si>
    <t>Count</t>
  </si>
  <si>
    <t>IF</t>
  </si>
  <si>
    <t>Nested IF</t>
  </si>
  <si>
    <t>SR NO</t>
  </si>
  <si>
    <t>PHYSICS</t>
  </si>
  <si>
    <t>BIOLOGY</t>
  </si>
  <si>
    <t>AVERAGE</t>
  </si>
  <si>
    <t>TOTAL</t>
  </si>
  <si>
    <t>PERCENTAGE</t>
  </si>
  <si>
    <t>GRADE</t>
  </si>
  <si>
    <t>Abu bakr</t>
  </si>
  <si>
    <t>Basit</t>
  </si>
  <si>
    <t>Misbah</t>
  </si>
  <si>
    <t>Arfa</t>
  </si>
  <si>
    <t>Yahya</t>
  </si>
  <si>
    <t>Ali</t>
  </si>
  <si>
    <t>Adil</t>
  </si>
  <si>
    <t>Hussain</t>
  </si>
  <si>
    <t>Anas</t>
  </si>
  <si>
    <t>Ghulam</t>
  </si>
  <si>
    <t>Month</t>
  </si>
  <si>
    <t>Product A</t>
  </si>
  <si>
    <t>Product B</t>
  </si>
  <si>
    <t>Product C</t>
  </si>
  <si>
    <t>Total Sales</t>
  </si>
  <si>
    <t>Jan</t>
  </si>
  <si>
    <t>Feb</t>
  </si>
  <si>
    <t>Mar</t>
  </si>
  <si>
    <t>Apr</t>
  </si>
  <si>
    <t>May</t>
  </si>
  <si>
    <t>Sales Tracker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</si>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</sst>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4"/>
      <color theme="7" tint="-0.249977111117893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/>
    </xf>
    <xf numFmtId="0" fontId="6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0" fillId="9" borderId="1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Sheet3!$B$1:$B$2</c:f>
              <c:strCache>
                <c:ptCount val="2"/>
                <c:pt idx="0">
                  <c:v>Sales Tracker</c:v>
                </c:pt>
                <c:pt idx="1">
                  <c:v>Product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Sheet3!$A$3:$A$7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Sheet3!$B$3:$B$7</c:f>
              <c:numCache>
                <c:formatCode>General</c:formatCode>
                <c:ptCount val="5"/>
                <c:pt idx="0">
                  <c:v>50000</c:v>
                </c:pt>
                <c:pt idx="1">
                  <c:v>60000</c:v>
                </c:pt>
                <c:pt idx="2">
                  <c:v>55000</c:v>
                </c:pt>
                <c:pt idx="3">
                  <c:v>70000</c:v>
                </c:pt>
                <c:pt idx="4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AE-405E-AB06-BE6E7FB892E5}"/>
            </c:ext>
          </c:extLst>
        </c:ser>
        <c:ser>
          <c:idx val="1"/>
          <c:order val="1"/>
          <c:tx>
            <c:strRef>
              <c:f>Sheet3!$C$1:$C$2</c:f>
              <c:strCache>
                <c:ptCount val="2"/>
                <c:pt idx="0">
                  <c:v>Sales Tracker</c:v>
                </c:pt>
                <c:pt idx="1">
                  <c:v>Product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Sheet3!$A$3:$A$7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Sheet3!$C$3:$C$7</c:f>
              <c:numCache>
                <c:formatCode>General</c:formatCode>
                <c:ptCount val="5"/>
                <c:pt idx="0">
                  <c:v>45000</c:v>
                </c:pt>
                <c:pt idx="1">
                  <c:v>40000</c:v>
                </c:pt>
                <c:pt idx="2">
                  <c:v>48000</c:v>
                </c:pt>
                <c:pt idx="3">
                  <c:v>52000</c:v>
                </c:pt>
                <c:pt idx="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AE-405E-AB06-BE6E7FB892E5}"/>
            </c:ext>
          </c:extLst>
        </c:ser>
        <c:ser>
          <c:idx val="2"/>
          <c:order val="2"/>
          <c:tx>
            <c:strRef>
              <c:f>Sheet3!$D$1:$D$2</c:f>
              <c:strCache>
                <c:ptCount val="2"/>
                <c:pt idx="0">
                  <c:v>Sales Tracker</c:v>
                </c:pt>
                <c:pt idx="1">
                  <c:v>Product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Sheet3!$A$3:$A$7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Sheet3!$D$3:$D$7</c:f>
              <c:numCache>
                <c:formatCode>General</c:formatCode>
                <c:ptCount val="5"/>
                <c:pt idx="0">
                  <c:v>30000</c:v>
                </c:pt>
                <c:pt idx="1">
                  <c:v>35000</c:v>
                </c:pt>
                <c:pt idx="2">
                  <c:v>38000</c:v>
                </c:pt>
                <c:pt idx="3">
                  <c:v>40000</c:v>
                </c:pt>
                <c:pt idx="4">
                  <c:v>42000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AE-405E-AB06-BE6E7FB892E5}"/>
            </c:ext>
          </c:extLst>
        </c:ser>
        <c:ser>
          <c:idx val="3"/>
          <c:order val="3"/>
          <c:tx>
            <c:strRef>
              <c:f>Sheet3!$E$1:$E$2</c:f>
              <c:strCache>
                <c:ptCount val="2"/>
                <c:pt idx="0">
                  <c:v>Sales Tracker</c:v>
                </c:pt>
                <c:pt idx="1">
                  <c:v>Total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Sheet3!$A$3:$A$7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Sheet3!$E$3:$E$7</c:f>
              <c:numCache>
                <c:formatCode>General</c:formatCode>
                <c:ptCount val="5"/>
                <c:pt idx="0">
                  <c:v>125000</c:v>
                </c:pt>
                <c:pt idx="1">
                  <c:v>135000</c:v>
                </c:pt>
                <c:pt idx="2">
                  <c:v>141000</c:v>
                </c:pt>
                <c:pt idx="3">
                  <c:v>162000</c:v>
                </c:pt>
                <c:pt idx="4">
                  <c:v>157000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AE-405E-AB06-BE6E7FB89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8982175"/>
        <c:axId val="1538983135"/>
      </c:barChart>
      <c:catAx>
        <c:axId val="153898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983135"/>
        <c:crosses val="autoZero"/>
        <c:auto val="1"/>
        <c:lblAlgn val="ctr"/>
        <c:lblOffset val="100"/>
        <c:noMultiLvlLbl val="0"/>
      </c:catAx>
      <c:valAx>
        <c:axId val="153898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98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244928</xdr:colOff>
      <xdr:row>0</xdr:row>
      <xdr:rowOff>142194</xdr:rowOff>
    </xdr:from>
    <xdr:to>
      <xdr:col>11</xdr:col>
      <xdr:colOff>442232</xdr:colOff>
      <xdr:row>12</xdr:row>
      <xdr:rowOff>88446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0C1F51-71A6-294F-07B7-57328546B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1F0B-CE90-4062-9AD2-50CE6600FEDD}">
  <dimension ref="A1:I26"/>
  <sheetViews>
    <sheetView tabSelected="1" topLeftCell="B16" zoomScale="130" zoomScaleNormal="130" workbookViewId="0">
      <selection activeCell="D31" sqref="D31"/>
    </sheetView>
  </sheetViews>
  <sheetFormatPr defaultRowHeight="15" x14ac:dyDescent="0.25"/>
  <cols>
    <col min="2" max="2" width="11.28515625" bestFit="1" customWidth="1"/>
    <col min="3" max="3" width="10" customWidth="1"/>
    <col min="4" max="4" width="12.28515625" customWidth="1"/>
    <col min="5" max="5" width="15.5703125" customWidth="1"/>
    <col min="6" max="6" width="16.5703125" bestFit="1" customWidth="1"/>
    <col min="7" max="7" width="16.28515625" customWidth="1"/>
  </cols>
  <sheetData>
    <row r="1" spans="1: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4"/>
      <c r="B2" s="3"/>
      <c r="C2" s="3"/>
      <c r="D2" s="3"/>
      <c r="E2" s="3"/>
      <c r="F2" s="3"/>
      <c r="G2" s="3"/>
      <c r="H2" s="4"/>
      <c r="I2" s="4"/>
    </row>
    <row r="3" spans="1:9" x14ac:dyDescent="0.25">
      <c r="A3" s="1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1"/>
      <c r="I3" s="1"/>
    </row>
    <row r="4" spans="1:9" x14ac:dyDescent="0.25">
      <c r="A4" s="1"/>
      <c r="B4" s="7">
        <v>1</v>
      </c>
      <c r="C4" s="7" t="s">
        <v>7</v>
      </c>
      <c r="D4" s="7" t="s">
        <v>8</v>
      </c>
      <c r="E4" s="7">
        <v>100</v>
      </c>
      <c r="F4" s="7">
        <v>88</v>
      </c>
      <c r="G4" s="7" t="s">
        <v>9</v>
      </c>
      <c r="H4" s="1"/>
      <c r="I4" s="1"/>
    </row>
    <row r="5" spans="1:9" x14ac:dyDescent="0.25">
      <c r="A5" s="1"/>
      <c r="B5" s="7">
        <v>2</v>
      </c>
      <c r="C5" s="7" t="s">
        <v>10</v>
      </c>
      <c r="D5" s="7" t="s">
        <v>11</v>
      </c>
      <c r="E5" s="7">
        <v>100</v>
      </c>
      <c r="F5" s="7">
        <v>89</v>
      </c>
      <c r="G5" s="7" t="s">
        <v>12</v>
      </c>
      <c r="H5" s="1"/>
      <c r="I5" s="1"/>
    </row>
    <row r="6" spans="1:9" x14ac:dyDescent="0.25">
      <c r="A6" s="1"/>
      <c r="B6" s="7">
        <v>3</v>
      </c>
      <c r="C6" s="7" t="s">
        <v>13</v>
      </c>
      <c r="D6" s="7" t="s">
        <v>14</v>
      </c>
      <c r="E6" s="7">
        <v>100</v>
      </c>
      <c r="F6" s="7">
        <v>90</v>
      </c>
      <c r="G6" s="7" t="s">
        <v>15</v>
      </c>
      <c r="H6" s="1"/>
      <c r="I6" s="1"/>
    </row>
    <row r="7" spans="1:9" x14ac:dyDescent="0.25">
      <c r="A7" s="1"/>
      <c r="B7" s="7">
        <v>4</v>
      </c>
      <c r="C7" s="7" t="s">
        <v>16</v>
      </c>
      <c r="D7" s="7" t="s">
        <v>17</v>
      </c>
      <c r="E7" s="7">
        <v>100</v>
      </c>
      <c r="F7" s="7">
        <v>91</v>
      </c>
      <c r="G7" s="7" t="s">
        <v>9</v>
      </c>
      <c r="H7" s="1"/>
      <c r="I7" s="1"/>
    </row>
    <row r="8" spans="1:9" x14ac:dyDescent="0.25">
      <c r="A8" s="1"/>
      <c r="B8" s="7">
        <v>5</v>
      </c>
      <c r="C8" s="7" t="s">
        <v>18</v>
      </c>
      <c r="D8" s="7" t="s">
        <v>19</v>
      </c>
      <c r="E8" s="7">
        <v>100</v>
      </c>
      <c r="F8" s="7">
        <v>92</v>
      </c>
      <c r="G8" s="7" t="s">
        <v>12</v>
      </c>
      <c r="H8" s="1"/>
      <c r="I8" s="1"/>
    </row>
    <row r="9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x14ac:dyDescent="0.25">
      <c r="B10" s="1"/>
      <c r="C10" s="1"/>
      <c r="D10" s="1"/>
      <c r="E10" s="1"/>
      <c r="F10" s="1"/>
      <c r="G10" s="1"/>
    </row>
    <row r="13" spans="1:9" x14ac:dyDescent="0.25">
      <c r="B13" t="s">
        <v>27</v>
      </c>
      <c r="C13" t="s">
        <v>25</v>
      </c>
      <c r="H13" s="5"/>
    </row>
    <row r="14" spans="1:9" x14ac:dyDescent="0.25">
      <c r="B14" t="s">
        <v>20</v>
      </c>
      <c r="C14">
        <v>45</v>
      </c>
    </row>
    <row r="15" spans="1:9" x14ac:dyDescent="0.25">
      <c r="B15" t="s">
        <v>21</v>
      </c>
      <c r="C15">
        <v>78</v>
      </c>
    </row>
    <row r="16" spans="1:9" x14ac:dyDescent="0.25">
      <c r="B16" t="s">
        <v>22</v>
      </c>
      <c r="C16">
        <v>43</v>
      </c>
    </row>
    <row r="17" spans="2:5" x14ac:dyDescent="0.25">
      <c r="B17" t="s">
        <v>23</v>
      </c>
      <c r="C17">
        <v>22</v>
      </c>
    </row>
    <row r="18" spans="2:5" x14ac:dyDescent="0.25">
      <c r="B18" t="s">
        <v>24</v>
      </c>
      <c r="C18">
        <v>44</v>
      </c>
    </row>
    <row r="19" spans="2:5" x14ac:dyDescent="0.25">
      <c r="B19" s="8" t="s">
        <v>26</v>
      </c>
      <c r="C19" s="8">
        <f>SUM(C14:C18)</f>
        <v>232</v>
      </c>
    </row>
    <row r="20" spans="2:5" x14ac:dyDescent="0.25">
      <c r="B20" s="9" t="s">
        <v>28</v>
      </c>
      <c r="C20" s="9">
        <f>AVERAGE(C14:C18)</f>
        <v>46.4</v>
      </c>
    </row>
    <row r="21" spans="2:5" x14ac:dyDescent="0.25">
      <c r="B21" s="10" t="s">
        <v>29</v>
      </c>
      <c r="C21" s="10">
        <f>MIN(C14:C18)</f>
        <v>22</v>
      </c>
    </row>
    <row r="22" spans="2:5" x14ac:dyDescent="0.25">
      <c r="B22" s="11" t="s">
        <v>30</v>
      </c>
      <c r="C22" s="11">
        <f>MAX(C14:C18)</f>
        <v>78</v>
      </c>
    </row>
    <row r="23" spans="2:5" x14ac:dyDescent="0.25">
      <c r="B23" s="12" t="s">
        <v>31</v>
      </c>
      <c r="C23" s="12">
        <f>COUNT(C14:C18)</f>
        <v>5</v>
      </c>
    </row>
    <row r="25" spans="2:5" x14ac:dyDescent="0.25">
      <c r="D25" t="s">
        <v>32</v>
      </c>
      <c r="E25" t="str">
        <f>IF(C23&gt;1,"value is greater")</f>
        <v>value is greater</v>
      </c>
    </row>
    <row r="26" spans="2:5" x14ac:dyDescent="0.25">
      <c r="D26" t="s">
        <v>33</v>
      </c>
      <c r="E26" t="str">
        <f>IF(C23&gt;5,"Value is greater",IF(C23&lt;5,"Value is less than",IF(C23=5,"Value is equal ")))</f>
        <v xml:space="preserve">Value is equal </v>
      </c>
    </row>
  </sheetData>
  <mergeCells count="1">
    <mergeCell ref="A1:I2"/>
  </mergeCells>
  <phoneticPr fontId="5" type="noConversion"/>
  <conditionalFormatting sqref="E29">
    <cfRule type="cellIs" dxfId="0" priority="1" operator="greaterThan">
      <formula>80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FF3B2-C3F0-4AEC-86E7-A89769FCB57E}">
  <dimension ref="A1:E8"/>
  <sheetViews>
    <sheetView zoomScale="140" zoomScaleNormal="140" workbookViewId="0">
      <selection sqref="A1:E7"/>
    </sheetView>
  </sheetViews>
  <sheetFormatPr defaultRowHeight="15" x14ac:dyDescent="0.25"/>
  <cols>
    <col min="2" max="4" width="9.42578125" bestFit="1" customWidth="1"/>
    <col min="5" max="5" width="10.5703125" bestFit="1" customWidth="1"/>
  </cols>
  <sheetData>
    <row r="1" spans="1:5" ht="24" x14ac:dyDescent="0.4">
      <c r="A1" s="2" t="s">
        <v>61</v>
      </c>
      <c r="B1" s="2"/>
      <c r="C1" s="2"/>
      <c r="D1" s="2"/>
      <c r="E1" s="2"/>
    </row>
    <row r="2" spans="1:5" x14ac:dyDescent="0.25">
      <c r="A2" s="16" t="s">
        <v>51</v>
      </c>
      <c r="B2" s="16" t="s">
        <v>52</v>
      </c>
      <c r="C2" s="16" t="s">
        <v>53</v>
      </c>
      <c r="D2" s="16" t="s">
        <v>54</v>
      </c>
      <c r="E2" s="16" t="s">
        <v>55</v>
      </c>
    </row>
    <row r="3" spans="1:5" x14ac:dyDescent="0.25">
      <c r="A3" s="7" t="s">
        <v>56</v>
      </c>
      <c r="B3" s="7">
        <v>50000</v>
      </c>
      <c r="C3" s="7">
        <v>45000</v>
      </c>
      <c r="D3" s="7">
        <v>30000</v>
      </c>
      <c r="E3" s="7">
        <f>SUM(B3:D3)</f>
        <v>125000</v>
      </c>
    </row>
    <row r="4" spans="1:5" x14ac:dyDescent="0.25">
      <c r="A4" s="7" t="s">
        <v>57</v>
      </c>
      <c r="B4" s="7">
        <v>60000</v>
      </c>
      <c r="C4" s="7">
        <v>40000</v>
      </c>
      <c r="D4" s="7">
        <v>35000</v>
      </c>
      <c r="E4" s="7">
        <f t="shared" ref="E4:E7" si="0">SUM(B4:D4)</f>
        <v>135000</v>
      </c>
    </row>
    <row r="5" spans="1:5" x14ac:dyDescent="0.25">
      <c r="A5" s="7" t="s">
        <v>58</v>
      </c>
      <c r="B5" s="7">
        <v>55000</v>
      </c>
      <c r="C5" s="7">
        <v>48000</v>
      </c>
      <c r="D5" s="7">
        <v>38000</v>
      </c>
      <c r="E5" s="7">
        <f t="shared" si="0"/>
        <v>141000</v>
      </c>
    </row>
    <row r="6" spans="1:5" x14ac:dyDescent="0.25">
      <c r="A6" s="7" t="s">
        <v>59</v>
      </c>
      <c r="B6" s="7">
        <v>70000</v>
      </c>
      <c r="C6" s="7">
        <v>52000</v>
      </c>
      <c r="D6" s="7">
        <v>40000</v>
      </c>
      <c r="E6" s="7">
        <f t="shared" si="0"/>
        <v>162000</v>
      </c>
    </row>
    <row r="7" spans="1:5" x14ac:dyDescent="0.25">
      <c r="A7" s="7" t="s">
        <v>60</v>
      </c>
      <c r="B7" s="7">
        <v>65000</v>
      </c>
      <c r="C7" s="7">
        <v>50000</v>
      </c>
      <c r="D7" s="7">
        <v>42000</v>
      </c>
      <c r="E7" s="7">
        <f t="shared" si="0"/>
        <v>157000</v>
      </c>
    </row>
    <row r="8" spans="1:5" x14ac:dyDescent="0.25">
      <c r="A8" s="13"/>
      <c r="B8" s="13"/>
      <c r="C8" s="13"/>
      <c r="D8" s="13"/>
      <c r="E8" s="13"/>
    </row>
  </sheetData>
  <mergeCells count="1">
    <mergeCell ref="A1:E1"/>
  </mergeCells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C964E-8A8E-4981-B533-422FEA356C4B}">
  <dimension ref="A1:L23"/>
  <sheetViews>
    <sheetView workbookViewId="0">
      <selection activeCell="L23" sqref="L23"/>
    </sheetView>
  </sheetViews>
  <sheetFormatPr defaultRowHeight="15" x14ac:dyDescent="0.25"/>
  <cols>
    <col min="2" max="2" width="8.85546875" bestFit="1" customWidth="1"/>
    <col min="4" max="4" width="7.5703125" bestFit="1" customWidth="1"/>
    <col min="5" max="5" width="9" bestFit="1" customWidth="1"/>
    <col min="6" max="6" width="9.5703125" bestFit="1" customWidth="1"/>
    <col min="7" max="7" width="9.28515625" bestFit="1" customWidth="1"/>
    <col min="8" max="8" width="9.85546875" bestFit="1" customWidth="1"/>
    <col min="9" max="9" width="6.85546875" bestFit="1" customWidth="1"/>
    <col min="10" max="10" width="18" bestFit="1" customWidth="1"/>
    <col min="11" max="11" width="13.5703125" bestFit="1" customWidth="1"/>
    <col min="12" max="12" width="7.5703125" bestFit="1" customWidth="1"/>
  </cols>
  <sheetData>
    <row r="1" spans="1:12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15.75" x14ac:dyDescent="0.25">
      <c r="A3" s="15" t="s">
        <v>34</v>
      </c>
      <c r="B3" s="15" t="s">
        <v>2</v>
      </c>
      <c r="C3" s="15" t="s">
        <v>11</v>
      </c>
      <c r="D3" s="15" t="s">
        <v>8</v>
      </c>
      <c r="E3" s="15" t="s">
        <v>35</v>
      </c>
      <c r="F3" s="15" t="s">
        <v>36</v>
      </c>
      <c r="G3" s="15" t="s">
        <v>14</v>
      </c>
      <c r="H3" s="15" t="s">
        <v>37</v>
      </c>
      <c r="I3" s="15" t="s">
        <v>38</v>
      </c>
      <c r="J3" s="15" t="s">
        <v>5</v>
      </c>
      <c r="K3" s="15" t="s">
        <v>39</v>
      </c>
      <c r="L3" s="15" t="s">
        <v>40</v>
      </c>
    </row>
    <row r="4" spans="1:12" x14ac:dyDescent="0.25">
      <c r="A4" s="13">
        <v>1</v>
      </c>
      <c r="B4" s="13" t="s">
        <v>41</v>
      </c>
      <c r="C4" s="13">
        <v>65</v>
      </c>
      <c r="D4" s="13">
        <v>45</v>
      </c>
      <c r="E4" s="13">
        <v>56</v>
      </c>
      <c r="F4" s="13">
        <v>55</v>
      </c>
      <c r="G4" s="13">
        <v>92</v>
      </c>
      <c r="H4" s="13">
        <f>AVERAGE(C4:G4)</f>
        <v>62.6</v>
      </c>
      <c r="I4" s="13">
        <v>500</v>
      </c>
      <c r="J4" s="13">
        <f>SUM(C4:G4)</f>
        <v>313</v>
      </c>
      <c r="K4" s="13">
        <f>J4*100/I4</f>
        <v>62.6</v>
      </c>
      <c r="L4" s="13" t="str">
        <f>IF(K4&gt;80,"A+",IF(K4&gt;70,"A",IF(K4&gt;60,"B",IF(K4&gt;50,"C",IF(K4&gt;40,"D","Fail")))))</f>
        <v>B</v>
      </c>
    </row>
    <row r="5" spans="1:12" x14ac:dyDescent="0.25">
      <c r="A5" s="13">
        <v>2</v>
      </c>
      <c r="B5" s="13" t="s">
        <v>42</v>
      </c>
      <c r="C5" s="13">
        <v>76</v>
      </c>
      <c r="D5" s="13">
        <v>98</v>
      </c>
      <c r="E5" s="13">
        <v>59</v>
      </c>
      <c r="F5" s="13">
        <v>39</v>
      </c>
      <c r="G5" s="13">
        <v>75</v>
      </c>
      <c r="H5" s="13">
        <f t="shared" ref="H5:H13" si="0">AVERAGE(C5:G5)</f>
        <v>69.400000000000006</v>
      </c>
      <c r="I5" s="13">
        <v>500</v>
      </c>
      <c r="J5" s="13">
        <f t="shared" ref="J5:J13" si="1">SUM(C5:G5)</f>
        <v>347</v>
      </c>
      <c r="K5" s="13">
        <f t="shared" ref="K5:K13" si="2">J5*100/I5</f>
        <v>69.400000000000006</v>
      </c>
      <c r="L5" s="13" t="str">
        <f t="shared" ref="L5:L13" si="3">IF(K5&gt;80,"A+",IF(K5&gt;70,"A",IF(K5&gt;60,"B",IF(K5&gt;50,"C",IF(K5&gt;40,"D","Fail")))))</f>
        <v>B</v>
      </c>
    </row>
    <row r="6" spans="1:12" x14ac:dyDescent="0.25">
      <c r="A6" s="13">
        <v>3</v>
      </c>
      <c r="B6" s="13" t="s">
        <v>43</v>
      </c>
      <c r="C6" s="13">
        <v>89</v>
      </c>
      <c r="D6" s="13">
        <v>45</v>
      </c>
      <c r="E6" s="13">
        <v>62</v>
      </c>
      <c r="F6" s="13">
        <v>44</v>
      </c>
      <c r="G6" s="13">
        <v>56</v>
      </c>
      <c r="H6" s="13">
        <f t="shared" si="0"/>
        <v>59.2</v>
      </c>
      <c r="I6" s="13">
        <v>500</v>
      </c>
      <c r="J6" s="13">
        <f t="shared" si="1"/>
        <v>296</v>
      </c>
      <c r="K6" s="13">
        <f t="shared" si="2"/>
        <v>59.2</v>
      </c>
      <c r="L6" s="13" t="str">
        <f t="shared" si="3"/>
        <v>C</v>
      </c>
    </row>
    <row r="7" spans="1:12" x14ac:dyDescent="0.25">
      <c r="A7" s="13">
        <v>4</v>
      </c>
      <c r="B7" s="13" t="s">
        <v>44</v>
      </c>
      <c r="C7" s="13">
        <v>45</v>
      </c>
      <c r="D7" s="13">
        <v>76</v>
      </c>
      <c r="E7" s="13">
        <v>65</v>
      </c>
      <c r="F7" s="13">
        <v>49</v>
      </c>
      <c r="G7" s="13">
        <v>75</v>
      </c>
      <c r="H7" s="13">
        <f t="shared" si="0"/>
        <v>62</v>
      </c>
      <c r="I7" s="13">
        <v>500</v>
      </c>
      <c r="J7" s="13">
        <f t="shared" si="1"/>
        <v>310</v>
      </c>
      <c r="K7" s="13">
        <f t="shared" si="2"/>
        <v>62</v>
      </c>
      <c r="L7" s="13" t="str">
        <f t="shared" si="3"/>
        <v>B</v>
      </c>
    </row>
    <row r="8" spans="1:12" x14ac:dyDescent="0.25">
      <c r="A8" s="13">
        <v>5</v>
      </c>
      <c r="B8" s="13" t="s">
        <v>45</v>
      </c>
      <c r="C8" s="13">
        <v>76</v>
      </c>
      <c r="D8" s="13">
        <v>34</v>
      </c>
      <c r="E8" s="13">
        <v>68</v>
      </c>
      <c r="F8" s="13">
        <v>54</v>
      </c>
      <c r="G8" s="13">
        <v>56</v>
      </c>
      <c r="H8" s="13">
        <f t="shared" si="0"/>
        <v>57.6</v>
      </c>
      <c r="I8" s="13">
        <v>500</v>
      </c>
      <c r="J8" s="13">
        <f t="shared" si="1"/>
        <v>288</v>
      </c>
      <c r="K8" s="13">
        <f t="shared" si="2"/>
        <v>57.6</v>
      </c>
      <c r="L8" s="13" t="str">
        <f t="shared" si="3"/>
        <v>C</v>
      </c>
    </row>
    <row r="9" spans="1:12" x14ac:dyDescent="0.25">
      <c r="A9" s="13">
        <v>6</v>
      </c>
      <c r="B9" s="13" t="s">
        <v>46</v>
      </c>
      <c r="C9" s="13">
        <v>89</v>
      </c>
      <c r="D9" s="13">
        <v>87</v>
      </c>
      <c r="E9" s="13">
        <v>71</v>
      </c>
      <c r="F9" s="13">
        <v>59</v>
      </c>
      <c r="G9" s="13">
        <v>90</v>
      </c>
      <c r="H9" s="13">
        <f t="shared" si="0"/>
        <v>79.2</v>
      </c>
      <c r="I9" s="13">
        <v>500</v>
      </c>
      <c r="J9" s="13">
        <f t="shared" si="1"/>
        <v>396</v>
      </c>
      <c r="K9" s="13">
        <f t="shared" si="2"/>
        <v>79.2</v>
      </c>
      <c r="L9" s="13" t="str">
        <f t="shared" si="3"/>
        <v>A</v>
      </c>
    </row>
    <row r="10" spans="1:12" x14ac:dyDescent="0.25">
      <c r="A10" s="13">
        <v>7</v>
      </c>
      <c r="B10" s="13" t="s">
        <v>47</v>
      </c>
      <c r="C10" s="13">
        <v>9</v>
      </c>
      <c r="D10" s="13">
        <v>45</v>
      </c>
      <c r="E10" s="13">
        <v>74</v>
      </c>
      <c r="F10" s="13">
        <v>64</v>
      </c>
      <c r="G10" s="13">
        <v>87</v>
      </c>
      <c r="H10" s="13">
        <f t="shared" si="0"/>
        <v>55.8</v>
      </c>
      <c r="I10" s="13">
        <v>500</v>
      </c>
      <c r="J10" s="13">
        <f t="shared" si="1"/>
        <v>279</v>
      </c>
      <c r="K10" s="13">
        <f t="shared" si="2"/>
        <v>55.8</v>
      </c>
      <c r="L10" s="13" t="str">
        <f t="shared" si="3"/>
        <v>C</v>
      </c>
    </row>
    <row r="11" spans="1:12" x14ac:dyDescent="0.25">
      <c r="A11" s="13">
        <v>8</v>
      </c>
      <c r="B11" s="13" t="s">
        <v>48</v>
      </c>
      <c r="C11" s="13">
        <v>26</v>
      </c>
      <c r="D11" s="13">
        <v>23</v>
      </c>
      <c r="E11" s="13">
        <v>0</v>
      </c>
      <c r="F11" s="13">
        <v>0</v>
      </c>
      <c r="G11" s="13">
        <v>45</v>
      </c>
      <c r="H11" s="13">
        <f t="shared" si="0"/>
        <v>18.8</v>
      </c>
      <c r="I11" s="13">
        <v>500</v>
      </c>
      <c r="J11" s="13">
        <f t="shared" si="1"/>
        <v>94</v>
      </c>
      <c r="K11" s="13">
        <f t="shared" si="2"/>
        <v>18.8</v>
      </c>
      <c r="L11" s="13" t="str">
        <f t="shared" si="3"/>
        <v>Fail</v>
      </c>
    </row>
    <row r="12" spans="1:12" x14ac:dyDescent="0.25">
      <c r="A12" s="13">
        <v>9</v>
      </c>
      <c r="B12" s="13" t="s">
        <v>49</v>
      </c>
      <c r="C12" s="13">
        <v>56</v>
      </c>
      <c r="D12" s="13">
        <v>98</v>
      </c>
      <c r="E12" s="13">
        <v>80</v>
      </c>
      <c r="F12" s="13">
        <v>74</v>
      </c>
      <c r="G12" s="13">
        <v>77</v>
      </c>
      <c r="H12" s="13">
        <f t="shared" si="0"/>
        <v>77</v>
      </c>
      <c r="I12" s="13">
        <v>500</v>
      </c>
      <c r="J12" s="13">
        <f t="shared" si="1"/>
        <v>385</v>
      </c>
      <c r="K12" s="13">
        <f t="shared" si="2"/>
        <v>77</v>
      </c>
      <c r="L12" s="13" t="str">
        <f t="shared" si="3"/>
        <v>A</v>
      </c>
    </row>
    <row r="13" spans="1:12" x14ac:dyDescent="0.25">
      <c r="A13" s="13">
        <v>10</v>
      </c>
      <c r="B13" s="13" t="s">
        <v>50</v>
      </c>
      <c r="C13" s="13">
        <v>10</v>
      </c>
      <c r="D13" s="13">
        <v>10</v>
      </c>
      <c r="E13" s="13">
        <v>83</v>
      </c>
      <c r="F13" s="13">
        <v>79</v>
      </c>
      <c r="G13" s="13">
        <v>10</v>
      </c>
      <c r="H13" s="13">
        <f t="shared" si="0"/>
        <v>38.4</v>
      </c>
      <c r="I13" s="13">
        <v>500</v>
      </c>
      <c r="J13" s="13">
        <f t="shared" si="1"/>
        <v>192</v>
      </c>
      <c r="K13" s="13">
        <f t="shared" si="2"/>
        <v>38.4</v>
      </c>
      <c r="L13" s="13" t="str">
        <f t="shared" si="3"/>
        <v>Fail</v>
      </c>
    </row>
    <row r="21" spans="1:12" ht="15.75" x14ac:dyDescent="0.25">
      <c r="A21" s="15" t="s">
        <v>34</v>
      </c>
      <c r="B21" s="15" t="s">
        <v>2</v>
      </c>
      <c r="C21" s="15" t="s">
        <v>11</v>
      </c>
      <c r="D21" s="15" t="s">
        <v>8</v>
      </c>
      <c r="E21" s="15" t="s">
        <v>35</v>
      </c>
      <c r="F21" s="15" t="s">
        <v>36</v>
      </c>
      <c r="G21" s="15" t="s">
        <v>14</v>
      </c>
      <c r="H21" s="15" t="s">
        <v>37</v>
      </c>
      <c r="I21" s="15" t="s">
        <v>38</v>
      </c>
      <c r="J21" s="15" t="s">
        <v>5</v>
      </c>
      <c r="K21" s="15" t="s">
        <v>39</v>
      </c>
      <c r="L21" s="15" t="s">
        <v>40</v>
      </c>
    </row>
    <row r="22" spans="1:12" x14ac:dyDescent="0.25">
      <c r="A22">
        <v>1</v>
      </c>
      <c r="B22" t="str">
        <f>VLOOKUP(A22,A1:L13,2)</f>
        <v>Abu bakr</v>
      </c>
      <c r="C22">
        <f>VLOOKUP(A22,A4:L13,3)</f>
        <v>65</v>
      </c>
      <c r="D22">
        <f>VLOOKUP($A$22,$A$4:$L$13,5)</f>
        <v>56</v>
      </c>
      <c r="E22">
        <f>VLOOKUP($A$22,$A$4:$L$13,6)</f>
        <v>55</v>
      </c>
      <c r="F22">
        <f>VLOOKUP($A$22,$A$4:$L$13,6)</f>
        <v>55</v>
      </c>
      <c r="G22">
        <f>VLOOKUP($A$22,$A$4:$L$13,7)</f>
        <v>92</v>
      </c>
      <c r="H22">
        <f>VLOOKUP($A$22,$A$4:$L$13,8)</f>
        <v>62.6</v>
      </c>
      <c r="I22">
        <f>VLOOKUP($A$22,$A$4:$L$13,9)</f>
        <v>500</v>
      </c>
      <c r="J22">
        <f>VLOOKUP($A$22,$A$4:$L$13,10)</f>
        <v>313</v>
      </c>
      <c r="K22">
        <f>VLOOKUP($A$22,$A$4:$L$13,11)</f>
        <v>62.6</v>
      </c>
      <c r="L22" t="str">
        <f>VLOOKUP($A$22,$A$4:$L$13,12)</f>
        <v>B</v>
      </c>
    </row>
    <row r="23" spans="1:12" x14ac:dyDescent="0.25">
      <c r="D23" t="s">
        <v>62</v>
      </c>
    </row>
  </sheetData>
  <mergeCells count="1">
    <mergeCell ref="A1:L2"/>
  </mergeCells>
  <pageMargins left="0.7" right="0.7" top="0.75" bottom="0.75" header="0.3" footer="0.3"/>
  <ignoredErrors>
    <ignoredError sqref="J4:J1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 Asghar</dc:creator>
  <cp:lastModifiedBy>Manal Asghar</cp:lastModifiedBy>
  <dcterms:created xsi:type="dcterms:W3CDTF">2026-02-16T08:18:46Z</dcterms:created>
  <dcterms:modified xsi:type="dcterms:W3CDTF">2026-02-16T10:20:20Z</dcterms:modified>
</cp:coreProperties>
</file>