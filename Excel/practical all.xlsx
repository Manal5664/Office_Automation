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server1\Faculty\Manal Asghar\Lectures\Office Automation\EXCE-\"/>
    </mc:Choice>
  </mc:AlternateContent>
  <xr:revisionPtr revIDLastSave="0" documentId="13_ncr:1_{C9293F2D-FB31-4184-BD8F-C0E3F9EA7D7A}" xr6:coauthVersionLast="47" xr6:coauthVersionMax="47" xr10:uidLastSave="{00000000-0000-0000-0000-000000000000}"/>
  <bookViews>
    <workbookView xWindow="-120" yWindow="-120" windowWidth="21840" windowHeight="13140" tabRatio="739" firstSheet="6" activeTab="14" xr2:uid="{DF34E393-3245-4C21-9598-BA5F4027E52C}"/>
  </bookViews>
  <sheets>
    <sheet name="Lec 1" sheetId="1" r:id="rId1"/>
    <sheet name="Sales tracker" sheetId="3" r:id="rId2"/>
    <sheet name="Marksheet" sheetId="2" r:id="rId3"/>
    <sheet name="IFs" sheetId="4" r:id="rId4"/>
    <sheet name="SUM product" sheetId="6" r:id="rId5"/>
    <sheet name="Payroll sheet" sheetId="5" r:id="rId6"/>
    <sheet name="xlookup" sheetId="8" r:id="rId7"/>
    <sheet name="Pivot tables" sheetId="7" r:id="rId8"/>
    <sheet name="SLICER" sheetId="9" r:id="rId9"/>
    <sheet name="PIVOT CHARTS" sheetId="10" r:id="rId10"/>
    <sheet name="Pivot_chart" sheetId="11" r:id="rId11"/>
    <sheet name="PMT" sheetId="12" r:id="rId12"/>
    <sheet name="Index Formula" sheetId="13" r:id="rId13"/>
    <sheet name="Rand" sheetId="14" r:id="rId14"/>
    <sheet name="Attendance sheet" sheetId="15" r:id="rId15"/>
  </sheets>
  <definedNames>
    <definedName name="_xlnm._FilterDatabase" localSheetId="5" hidden="1">'Payroll sheet'!$M$4:$M$10</definedName>
    <definedName name="Slicer_CITIES">#N/A</definedName>
    <definedName name="Slicer_SIZE">#N/A</definedName>
    <definedName name="Slicer_SIZE1">#N/A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13" l="1" a="1"/>
  <c r="E22" i="13" s="1"/>
  <c r="E18" i="15"/>
  <c r="F18" i="15"/>
  <c r="G18" i="15"/>
  <c r="H18" i="15"/>
  <c r="I18" i="15"/>
  <c r="J18" i="15"/>
  <c r="K18" i="15"/>
  <c r="L18" i="15"/>
  <c r="M18" i="15"/>
  <c r="N18" i="15"/>
  <c r="O18" i="15"/>
  <c r="P18" i="15"/>
  <c r="Q18" i="15"/>
  <c r="R18" i="15"/>
  <c r="S18" i="15"/>
  <c r="T18" i="15"/>
  <c r="U18" i="15"/>
  <c r="V18" i="15"/>
  <c r="W18" i="15"/>
  <c r="X18" i="15"/>
  <c r="Y18" i="15"/>
  <c r="Z18" i="15"/>
  <c r="AA18" i="15"/>
  <c r="AB18" i="15"/>
  <c r="AC18" i="15"/>
  <c r="AD18" i="15"/>
  <c r="AE18" i="15"/>
  <c r="AF18" i="15"/>
  <c r="AG18" i="15"/>
  <c r="AH18" i="15"/>
  <c r="E17" i="15"/>
  <c r="F17" i="15"/>
  <c r="G17" i="15"/>
  <c r="H17" i="15"/>
  <c r="I17" i="15"/>
  <c r="J17" i="15"/>
  <c r="K17" i="15"/>
  <c r="L17" i="15"/>
  <c r="M17" i="15"/>
  <c r="N17" i="15"/>
  <c r="O17" i="15"/>
  <c r="P17" i="15"/>
  <c r="Q17" i="15"/>
  <c r="R17" i="15"/>
  <c r="S17" i="15"/>
  <c r="T17" i="15"/>
  <c r="U17" i="15"/>
  <c r="V17" i="15"/>
  <c r="W17" i="15"/>
  <c r="X17" i="15"/>
  <c r="Y17" i="15"/>
  <c r="Z17" i="15"/>
  <c r="AA17" i="15"/>
  <c r="AB17" i="15"/>
  <c r="AC17" i="15"/>
  <c r="AD17" i="15"/>
  <c r="AE17" i="15"/>
  <c r="AF17" i="15"/>
  <c r="AG17" i="15"/>
  <c r="AH17" i="15"/>
  <c r="E16" i="15"/>
  <c r="F16" i="15"/>
  <c r="G16" i="15"/>
  <c r="H16" i="15"/>
  <c r="I16" i="15"/>
  <c r="J16" i="15"/>
  <c r="K16" i="15"/>
  <c r="L16" i="15"/>
  <c r="M16" i="15"/>
  <c r="N16" i="15"/>
  <c r="O16" i="15"/>
  <c r="P16" i="15"/>
  <c r="Q16" i="15"/>
  <c r="R16" i="15"/>
  <c r="S16" i="15"/>
  <c r="T16" i="15"/>
  <c r="U16" i="15"/>
  <c r="V16" i="15"/>
  <c r="W16" i="15"/>
  <c r="X16" i="15"/>
  <c r="Y16" i="15"/>
  <c r="Z16" i="15"/>
  <c r="AA16" i="15"/>
  <c r="AB16" i="15"/>
  <c r="AC16" i="15"/>
  <c r="AD16" i="15"/>
  <c r="AE16" i="15"/>
  <c r="AF16" i="15"/>
  <c r="AG16" i="15"/>
  <c r="AH16" i="15"/>
  <c r="D18" i="15"/>
  <c r="D17" i="15"/>
  <c r="D16" i="15"/>
  <c r="AI4" i="15"/>
  <c r="AI5" i="15"/>
  <c r="AI6" i="15"/>
  <c r="AI7" i="15"/>
  <c r="AI8" i="15"/>
  <c r="AI9" i="15"/>
  <c r="AI10" i="15"/>
  <c r="AI11" i="15"/>
  <c r="AI12" i="15"/>
  <c r="AJ3" i="15"/>
  <c r="AI3" i="15"/>
  <c r="AJ4" i="15"/>
  <c r="AJ5" i="15"/>
  <c r="AJ6" i="15"/>
  <c r="AJ7" i="15"/>
  <c r="AJ8" i="15"/>
  <c r="AJ9" i="15"/>
  <c r="AJ10" i="15"/>
  <c r="AJ11" i="15"/>
  <c r="AJ12" i="15"/>
  <c r="D14" i="14"/>
  <c r="D8" i="14"/>
  <c r="D9" i="14"/>
  <c r="D10" i="14"/>
  <c r="D11" i="14"/>
  <c r="D12" i="14"/>
  <c r="D13" i="14"/>
  <c r="D7" i="14"/>
  <c r="C18" i="14"/>
  <c r="G3" i="12"/>
  <c r="G4" i="12"/>
  <c r="G5" i="12"/>
  <c r="G6" i="12"/>
  <c r="G7" i="12"/>
  <c r="G8" i="12"/>
  <c r="G9" i="12"/>
  <c r="G10" i="12"/>
  <c r="B7" i="8"/>
  <c r="B8" i="8"/>
  <c r="D8" i="6"/>
  <c r="D9" i="6" s="1"/>
  <c r="D3" i="6"/>
  <c r="B11" i="6"/>
  <c r="D4" i="6"/>
  <c r="D5" i="6"/>
  <c r="D6" i="6"/>
  <c r="D7" i="6"/>
  <c r="F6" i="5"/>
  <c r="F7" i="5"/>
  <c r="F8" i="5"/>
  <c r="G8" i="5" s="1"/>
  <c r="F9" i="5"/>
  <c r="F10" i="5"/>
  <c r="C26" i="1"/>
  <c r="C25" i="1"/>
  <c r="G7" i="4"/>
  <c r="G6" i="4"/>
  <c r="L14" i="2"/>
  <c r="C18" i="2"/>
  <c r="I18" i="2"/>
  <c r="G18" i="2"/>
  <c r="F18" i="2"/>
  <c r="E18" i="2"/>
  <c r="D18" i="2"/>
  <c r="B18" i="2"/>
  <c r="E4" i="3"/>
  <c r="E5" i="3"/>
  <c r="E6" i="3"/>
  <c r="E7" i="3"/>
  <c r="E3" i="3"/>
  <c r="H5" i="2"/>
  <c r="H6" i="2"/>
  <c r="H7" i="2"/>
  <c r="H8" i="2"/>
  <c r="H9" i="2"/>
  <c r="H10" i="2"/>
  <c r="H11" i="2"/>
  <c r="H12" i="2"/>
  <c r="H13" i="2"/>
  <c r="H4" i="2"/>
  <c r="H18" i="2" s="1"/>
  <c r="J5" i="2"/>
  <c r="K5" i="2" s="1"/>
  <c r="L5" i="2" s="1"/>
  <c r="J6" i="2"/>
  <c r="J7" i="2"/>
  <c r="K7" i="2" s="1"/>
  <c r="L7" i="2" s="1"/>
  <c r="J8" i="2"/>
  <c r="K8" i="2" s="1"/>
  <c r="L8" i="2" s="1"/>
  <c r="J9" i="2"/>
  <c r="K9" i="2" s="1"/>
  <c r="L9" i="2" s="1"/>
  <c r="J10" i="2"/>
  <c r="K10" i="2" s="1"/>
  <c r="L10" i="2" s="1"/>
  <c r="J11" i="2"/>
  <c r="K11" i="2" s="1"/>
  <c r="L11" i="2" s="1"/>
  <c r="J12" i="2"/>
  <c r="K12" i="2" s="1"/>
  <c r="L12" i="2" s="1"/>
  <c r="J13" i="2"/>
  <c r="K13" i="2" s="1"/>
  <c r="L13" i="2" s="1"/>
  <c r="J4" i="2"/>
  <c r="K4" i="2" s="1"/>
  <c r="K18" i="2" s="1"/>
  <c r="K6" i="2"/>
  <c r="L6" i="2" s="1"/>
  <c r="C24" i="1"/>
  <c r="F16" i="1" s="1"/>
  <c r="C23" i="1"/>
  <c r="C22" i="1"/>
  <c r="C21" i="1"/>
  <c r="C20" i="1"/>
  <c r="AK3" i="15" l="1"/>
  <c r="AK9" i="15"/>
  <c r="AK5" i="15"/>
  <c r="AK12" i="15"/>
  <c r="AK8" i="15"/>
  <c r="AK4" i="15"/>
  <c r="AK10" i="15"/>
  <c r="AK6" i="15"/>
  <c r="AK11" i="15"/>
  <c r="AK7" i="15"/>
  <c r="H6" i="5"/>
  <c r="I6" i="5"/>
  <c r="G6" i="5"/>
  <c r="J6" i="5" s="1"/>
  <c r="I8" i="5"/>
  <c r="H8" i="5"/>
  <c r="J8" i="5" s="1"/>
  <c r="K8" i="5" s="1"/>
  <c r="I7" i="5"/>
  <c r="H7" i="5"/>
  <c r="G7" i="5"/>
  <c r="H9" i="5"/>
  <c r="G9" i="5"/>
  <c r="I9" i="5"/>
  <c r="I10" i="5"/>
  <c r="G10" i="5"/>
  <c r="H10" i="5"/>
  <c r="F14" i="1"/>
  <c r="J18" i="2"/>
  <c r="L4" i="2"/>
  <c r="L18" i="2" s="1"/>
  <c r="K6" i="5" l="1"/>
  <c r="L6" i="5"/>
  <c r="M6" i="5" s="1"/>
  <c r="J9" i="5"/>
  <c r="K9" i="5" s="1"/>
  <c r="M8" i="5"/>
  <c r="N8" i="5" s="1"/>
  <c r="J10" i="5"/>
  <c r="L8" i="5"/>
  <c r="J7" i="5"/>
  <c r="L7" i="5" s="1"/>
  <c r="L9" i="5"/>
  <c r="L10" i="5"/>
  <c r="K10" i="5"/>
  <c r="M10" i="5" s="1"/>
  <c r="N10" i="5" s="1"/>
  <c r="N6" i="5"/>
  <c r="K7" i="5" l="1"/>
  <c r="M7" i="5" s="1"/>
  <c r="M9" i="5"/>
  <c r="N7" i="5" l="1"/>
  <c r="N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<sst xmlns="http://schemas.openxmlformats.org/spreadsheetml/2006/main" count="620" uniqueCount="197">
  <si>
    <t>MARKSHEET</t>
  </si>
  <si>
    <t>S.NO</t>
  </si>
  <si>
    <t>NAME</t>
  </si>
  <si>
    <t>SUBJECTS</t>
  </si>
  <si>
    <t>TOTAL MARKS</t>
  </si>
  <si>
    <t>OBTAINED MARKS</t>
  </si>
  <si>
    <t>REMARKS</t>
  </si>
  <si>
    <t>ALI</t>
  </si>
  <si>
    <t>MATHS</t>
  </si>
  <si>
    <t>EXCELLENT</t>
  </si>
  <si>
    <t>UMAIR</t>
  </si>
  <si>
    <t>ENGLISH</t>
  </si>
  <si>
    <t>KAZI</t>
  </si>
  <si>
    <t>SCIENCE</t>
  </si>
  <si>
    <t>OUTSTANDING</t>
  </si>
  <si>
    <t>REHAN</t>
  </si>
  <si>
    <t>URDU</t>
  </si>
  <si>
    <t>TALHA</t>
  </si>
  <si>
    <t>PST</t>
  </si>
  <si>
    <t>Test1</t>
  </si>
  <si>
    <t>Test2</t>
  </si>
  <si>
    <t>Test3</t>
  </si>
  <si>
    <t>Test4</t>
  </si>
  <si>
    <t>Test5</t>
  </si>
  <si>
    <t>Marks</t>
  </si>
  <si>
    <t>Total Marks</t>
  </si>
  <si>
    <t>Test no.</t>
  </si>
  <si>
    <t>Average</t>
  </si>
  <si>
    <t>Minimum</t>
  </si>
  <si>
    <t>Maximum</t>
  </si>
  <si>
    <t>Count</t>
  </si>
  <si>
    <t>IF</t>
  </si>
  <si>
    <t>Nested IF</t>
  </si>
  <si>
    <t>SR NO</t>
  </si>
  <si>
    <t>PHYSICS</t>
  </si>
  <si>
    <t>BIOLOGY</t>
  </si>
  <si>
    <t>AVERAGE</t>
  </si>
  <si>
    <t>TOTAL</t>
  </si>
  <si>
    <t>PERCENTAGE</t>
  </si>
  <si>
    <t>GRADE</t>
  </si>
  <si>
    <t>Abu bakr</t>
  </si>
  <si>
    <t>Basit</t>
  </si>
  <si>
    <t>Misbah</t>
  </si>
  <si>
    <t>Arfa</t>
  </si>
  <si>
    <t>Yahya</t>
  </si>
  <si>
    <t>Ali</t>
  </si>
  <si>
    <t>Adil</t>
  </si>
  <si>
    <t>Hussain</t>
  </si>
  <si>
    <t>Anas</t>
  </si>
  <si>
    <t>Ghulam</t>
  </si>
  <si>
    <t>Month</t>
  </si>
  <si>
    <t>Product A</t>
  </si>
  <si>
    <t>Product B</t>
  </si>
  <si>
    <t>Product C</t>
  </si>
  <si>
    <t>Total Sales</t>
  </si>
  <si>
    <t>Jan</t>
  </si>
  <si>
    <t>Feb</t>
  </si>
  <si>
    <t>Mar</t>
  </si>
  <si>
    <t>Apr</t>
  </si>
  <si>
    <t>May</t>
  </si>
  <si>
    <t>Sales Tracker</t>
  </si>
  <si>
    <t>.</t>
  </si>
  <si>
    <t>CountIF</t>
  </si>
  <si>
    <t>Items</t>
  </si>
  <si>
    <t>Region</t>
  </si>
  <si>
    <t>Sales</t>
  </si>
  <si>
    <t>pent</t>
  </si>
  <si>
    <t>USA</t>
  </si>
  <si>
    <t>shirt</t>
  </si>
  <si>
    <t>Germany</t>
  </si>
  <si>
    <t>shoes</t>
  </si>
  <si>
    <t>France</t>
  </si>
  <si>
    <t>tie</t>
  </si>
  <si>
    <t>Paris</t>
  </si>
  <si>
    <t>SUMIF</t>
  </si>
  <si>
    <t xml:space="preserve">ITEM </t>
  </si>
  <si>
    <t>SUM</t>
  </si>
  <si>
    <t>Averagif</t>
  </si>
  <si>
    <t>Counta</t>
  </si>
  <si>
    <t>A</t>
  </si>
  <si>
    <t>Test0</t>
  </si>
  <si>
    <t>countBlank</t>
  </si>
  <si>
    <t>EMPLOYEE PAYROLL SHEET</t>
  </si>
  <si>
    <t>Designation</t>
  </si>
  <si>
    <t>Basic pay</t>
  </si>
  <si>
    <t>Attendance</t>
  </si>
  <si>
    <t>salary</t>
  </si>
  <si>
    <t>Allowances</t>
  </si>
  <si>
    <t>Gross pay</t>
  </si>
  <si>
    <t>TOTAL DEDUCTION</t>
  </si>
  <si>
    <t>Manager</t>
  </si>
  <si>
    <t>Accountant</t>
  </si>
  <si>
    <t>Clerk</t>
  </si>
  <si>
    <t>Computer Operator</t>
  </si>
  <si>
    <t>P.A</t>
  </si>
  <si>
    <t xml:space="preserve">Emp Name </t>
  </si>
  <si>
    <t>sana</t>
  </si>
  <si>
    <t>saba</t>
  </si>
  <si>
    <t>Umer</t>
  </si>
  <si>
    <t>Hasim</t>
  </si>
  <si>
    <t>S.no</t>
  </si>
  <si>
    <t>House Rent     40%</t>
  </si>
  <si>
    <t xml:space="preserve">Convence 20%    </t>
  </si>
  <si>
    <t xml:space="preserve">Medical  15% </t>
  </si>
  <si>
    <t xml:space="preserve">Tax   10% </t>
  </si>
  <si>
    <t>GPFund5%</t>
  </si>
  <si>
    <t>Net Salary</t>
  </si>
  <si>
    <t>GOOD</t>
  </si>
  <si>
    <t>ITEMS</t>
  </si>
  <si>
    <t>SOLD</t>
  </si>
  <si>
    <t>PRICE OF 1</t>
  </si>
  <si>
    <t>TV</t>
  </si>
  <si>
    <t>REFRIGERATOR</t>
  </si>
  <si>
    <t>LCD</t>
  </si>
  <si>
    <t>LED</t>
  </si>
  <si>
    <t>SPEAKERS</t>
  </si>
  <si>
    <t>TAPE RECORDER</t>
  </si>
  <si>
    <t>REFRIGE ATOR</t>
  </si>
  <si>
    <t>Daily sales table</t>
  </si>
  <si>
    <t>total</t>
  </si>
  <si>
    <t>SUM product</t>
  </si>
  <si>
    <t>Total sales of today</t>
  </si>
  <si>
    <t>Pivot tables</t>
  </si>
  <si>
    <t>SR#</t>
  </si>
  <si>
    <t>CITIES</t>
  </si>
  <si>
    <t>MONTHS</t>
  </si>
  <si>
    <t>SIZE</t>
  </si>
  <si>
    <t>QUANTITY</t>
  </si>
  <si>
    <t>Hyderabad</t>
  </si>
  <si>
    <t>1 litre</t>
  </si>
  <si>
    <t>Sukkur</t>
  </si>
  <si>
    <t>2 Litre</t>
  </si>
  <si>
    <t>Karachi</t>
  </si>
  <si>
    <t>2.5 Litre</t>
  </si>
  <si>
    <t>Dadu</t>
  </si>
  <si>
    <t>500 ML</t>
  </si>
  <si>
    <t>Jamshoro</t>
  </si>
  <si>
    <t>Pepsi  Sales List</t>
  </si>
  <si>
    <t>ID</t>
  </si>
  <si>
    <t>Name</t>
  </si>
  <si>
    <t>Sara</t>
  </si>
  <si>
    <t>Ahmed</t>
  </si>
  <si>
    <t>Row Labels</t>
  </si>
  <si>
    <t>Grand Total</t>
  </si>
  <si>
    <t>Column Labels</t>
  </si>
  <si>
    <t>Sum of QUANTITY</t>
  </si>
  <si>
    <t>(All)</t>
  </si>
  <si>
    <t>ITEM</t>
  </si>
  <si>
    <t>AMOUNT</t>
  </si>
  <si>
    <t>DOWN PAYMENT</t>
  </si>
  <si>
    <t>NO: OF YEAR</t>
  </si>
  <si>
    <t>MARKUP</t>
  </si>
  <si>
    <t>MONTHLY PLAN</t>
  </si>
  <si>
    <t>2</t>
  </si>
  <si>
    <t>MONITOR</t>
  </si>
  <si>
    <t>LAPTOP</t>
  </si>
  <si>
    <t>SPEAKER</t>
  </si>
  <si>
    <t>PLAYSTATION</t>
  </si>
  <si>
    <t>PMP make a plan yearly</t>
  </si>
  <si>
    <t>Ahmed Electronics</t>
  </si>
  <si>
    <t>Recreated Table: ALFREDO HOTEL CALIFORNIA</t>
  </si>
  <si>
    <t>WEEKS</t>
  </si>
  <si>
    <r>
      <t>how many weeks required:</t>
    </r>
    <r>
      <rPr>
        <sz val="12"/>
        <color rgb="FF0F1115"/>
        <rFont val="Segoe UI"/>
        <family val="2"/>
      </rPr>
      <t> </t>
    </r>
  </si>
  <si>
    <r>
      <t>How many people:</t>
    </r>
    <r>
      <rPr>
        <sz val="12"/>
        <color rgb="FF0F1115"/>
        <rFont val="Segoe UI"/>
        <family val="2"/>
      </rPr>
      <t> </t>
    </r>
  </si>
  <si>
    <r>
      <t>Your Cost will be:</t>
    </r>
    <r>
      <rPr>
        <sz val="12"/>
        <color rgb="FF0F1115"/>
        <rFont val="Segoe UI"/>
        <family val="2"/>
      </rPr>
      <t> </t>
    </r>
  </si>
  <si>
    <t>People</t>
  </si>
  <si>
    <t>STARTING NUMBER</t>
  </si>
  <si>
    <t>ENDING NUMBER</t>
  </si>
  <si>
    <t>WINNER NUMBER</t>
  </si>
  <si>
    <t>PRIZE</t>
  </si>
  <si>
    <t>1ST</t>
  </si>
  <si>
    <t>2nd</t>
  </si>
  <si>
    <t>3rd</t>
  </si>
  <si>
    <t>4th</t>
  </si>
  <si>
    <t>5th</t>
  </si>
  <si>
    <t>6th</t>
  </si>
  <si>
    <t>7th</t>
  </si>
  <si>
    <t>8th</t>
  </si>
  <si>
    <t>Prize Bond</t>
  </si>
  <si>
    <t>ROLL NO</t>
  </si>
  <si>
    <t>Anum</t>
  </si>
  <si>
    <t>Zain</t>
  </si>
  <si>
    <t>Amir</t>
  </si>
  <si>
    <t>Asfand</t>
  </si>
  <si>
    <t>Shiraz</t>
  </si>
  <si>
    <t>Sadaf</t>
  </si>
  <si>
    <t>Absent</t>
  </si>
  <si>
    <t>Leave</t>
  </si>
  <si>
    <t>Present</t>
  </si>
  <si>
    <t>P</t>
  </si>
  <si>
    <t>L</t>
  </si>
  <si>
    <t>Class</t>
  </si>
  <si>
    <t>Total Present</t>
  </si>
  <si>
    <t>Total Absent</t>
  </si>
  <si>
    <t>Total Leave</t>
  </si>
  <si>
    <t>Attendance Sheet Month of March</t>
  </si>
  <si>
    <t>Sunday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</si>
</sst>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3" formatCode="_(* #,##0.00_);_(* \(#,##0.00\);_(* &quot;-&quot;??_);_(@_)"/>
  </numFmts>
  <fonts count="30"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b/>
      <sz val="18"/>
      <color theme="1"/>
      <name val="Aptos Narrow"/>
      <family val="2"/>
      <scheme val="minor"/>
    </font>
    <font>
      <b/>
      <sz val="20"/>
      <color theme="1"/>
      <name val="Aptos Narrow"/>
      <family val="2"/>
      <scheme val="minor"/>
    </font>
    <font>
      <sz val="8"/>
      <name val="Aptos Narrow"/>
      <family val="2"/>
      <scheme val="minor"/>
    </font>
    <font>
      <b/>
      <sz val="22"/>
      <color theme="1"/>
      <name val="Aptos Narrow"/>
      <family val="2"/>
      <scheme val="minor"/>
    </font>
    <font>
      <b/>
      <sz val="24"/>
      <color theme="7" tint="-0.249977111117893"/>
      <name val="Aptos Narrow"/>
      <family val="2"/>
      <scheme val="minor"/>
    </font>
    <font>
      <b/>
      <sz val="11"/>
      <color theme="3" tint="9.9978637043366805E-2"/>
      <name val="Aptos Narrow"/>
      <family val="2"/>
      <scheme val="minor"/>
    </font>
    <font>
      <b/>
      <sz val="22"/>
      <color theme="1"/>
      <name val="Times New Roman"/>
      <family val="1"/>
    </font>
    <font>
      <u val="double"/>
      <sz val="11"/>
      <color theme="1"/>
      <name val="Aptos Narrow"/>
      <family val="2"/>
      <scheme val="minor"/>
    </font>
    <font>
      <b/>
      <sz val="22"/>
      <color theme="3" tint="9.9978637043366805E-2"/>
      <name val="Times New Roman"/>
      <family val="1"/>
    </font>
    <font>
      <sz val="12"/>
      <color rgb="FF0F1115"/>
      <name val="Segoe UI"/>
      <family val="2"/>
    </font>
    <font>
      <sz val="11"/>
      <color theme="1"/>
      <name val="Segoe UI"/>
      <family val="2"/>
    </font>
    <font>
      <sz val="11"/>
      <color theme="1"/>
      <name val="Segoe UI"/>
      <family val="2"/>
    </font>
    <font>
      <sz val="12"/>
      <color rgb="FF0F1115"/>
      <name val="Segoe UI"/>
      <family val="2"/>
    </font>
    <font>
      <sz val="11"/>
      <color theme="1"/>
      <name val="Arial"/>
      <family val="2"/>
    </font>
    <font>
      <sz val="10"/>
      <color theme="1"/>
      <name val="Arial"/>
      <family val="2"/>
    </font>
    <font>
      <b/>
      <sz val="11"/>
      <color theme="1"/>
      <name val="Arial"/>
      <family val="2"/>
    </font>
    <font>
      <b/>
      <sz val="15"/>
      <color rgb="FF0F1115"/>
      <name val="Segoe UI"/>
      <family val="2"/>
    </font>
    <font>
      <sz val="11"/>
      <color rgb="FF0F1115"/>
      <name val="Segoe UI"/>
      <family val="2"/>
    </font>
    <font>
      <sz val="11"/>
      <color rgb="FF0F1115"/>
      <name val="Segoe UI"/>
      <family val="2"/>
    </font>
    <font>
      <b/>
      <sz val="20"/>
      <color theme="5" tint="-0.499984740745262"/>
      <name val="Aptos Narrow"/>
      <family val="2"/>
      <scheme val="minor"/>
    </font>
    <font>
      <b/>
      <sz val="13"/>
      <color theme="1"/>
      <name val="Aptos Narrow"/>
      <family val="2"/>
      <scheme val="minor"/>
    </font>
    <font>
      <b/>
      <sz val="13"/>
      <color theme="1"/>
      <name val="Arial"/>
      <family val="2"/>
    </font>
    <font>
      <sz val="13"/>
      <color theme="1"/>
      <name val="Aptos Narrow"/>
      <family val="2"/>
      <scheme val="minor"/>
    </font>
    <font>
      <sz val="13"/>
      <color theme="1"/>
      <name val="Arial"/>
      <family val="2"/>
    </font>
    <font>
      <b/>
      <sz val="11"/>
      <color theme="8" tint="-0.499984740745262"/>
      <name val="Aptos Narrow"/>
      <family val="2"/>
      <scheme val="minor"/>
    </font>
    <font>
      <b/>
      <u val="double"/>
      <sz val="13"/>
      <color theme="1"/>
      <name val="Arial"/>
      <family val="2"/>
    </font>
  </fonts>
  <fills count="16">
    <fill>
      <patternFill patternType="none"/>
    </fill>
    <fill>
      <patternFill patternType="gray125"/>
    </fill>
    <fill>
      <patternFill patternType="solid">
        <fgColor rgb="FFFFFF00"/>
        <bgColor indexed="64"/>
      </patternFill>
    </fill>
    <fill>
      <patternFill patternType="solid">
        <fgColor theme="2" tint="-0.49998474074526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3" tint="0.89999084444715716"/>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3" tint="0.749992370372631"/>
        <bgColor indexed="64"/>
      </patternFill>
    </fill>
    <fill>
      <patternFill patternType="solid">
        <fgColor rgb="FFFFFFFF"/>
        <bgColor indexed="64"/>
      </patternFill>
    </fill>
    <fill>
      <patternFill patternType="solid">
        <fgColor theme="5" tint="0.59999389629810485"/>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0" fillId="0" borderId="0" xfId="0" applyBorder="1"/>
    <xf numFmtId="0" fontId="2" fillId="0" borderId="0" xfId="0" applyFont="1"/>
    <xf numFmtId="0" fontId="2" fillId="2" borderId="2" xfId="0" applyFont="1" applyFill="1" applyBorder="1" applyAlignment="1">
      <alignment horizontal="center"/>
    </xf>
    <xf numFmtId="0" fontId="0" fillId="0" borderId="2" xfId="0" applyBorder="1"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applyAlignment="1">
      <alignment horizontal="center"/>
    </xf>
    <xf numFmtId="0" fontId="3" fillId="8" borderId="0" xfId="0" applyFont="1" applyFill="1" applyAlignment="1">
      <alignment horizontal="center"/>
    </xf>
    <xf numFmtId="0" fontId="0" fillId="9" borderId="2" xfId="0" applyFill="1" applyBorder="1" applyAlignment="1">
      <alignment horizontal="center"/>
    </xf>
    <xf numFmtId="0" fontId="0" fillId="9" borderId="0" xfId="0" applyFill="1"/>
    <xf numFmtId="0" fontId="0" fillId="9" borderId="0" xfId="0" applyFill="1" applyAlignment="1">
      <alignment horizontal="center"/>
    </xf>
    <xf numFmtId="0" fontId="2" fillId="0" borderId="0" xfId="0" applyFont="1" applyAlignment="1">
      <alignment horizontal="center" vertical="center" wrapText="1"/>
    </xf>
    <xf numFmtId="0" fontId="0" fillId="0" borderId="0" xfId="0" applyAlignment="1">
      <alignment vertical="center" wrapText="1"/>
    </xf>
    <xf numFmtId="0" fontId="9" fillId="9" borderId="0" xfId="0" applyFont="1" applyFill="1" applyAlignment="1">
      <alignment horizontal="center" vertical="center" wrapText="1"/>
    </xf>
    <xf numFmtId="0" fontId="0" fillId="11" borderId="0" xfId="0" applyFill="1"/>
    <xf numFmtId="0" fontId="0" fillId="0" borderId="0" xfId="0" applyAlignment="1">
      <alignment horizontal="right"/>
    </xf>
    <xf numFmtId="0" fontId="3" fillId="12" borderId="2" xfId="0" applyFont="1" applyFill="1" applyBorder="1"/>
    <xf numFmtId="0" fontId="10" fillId="0" borderId="0" xfId="0" applyFont="1" applyAlignment="1">
      <alignment horizontal="center"/>
    </xf>
    <xf numFmtId="1" fontId="0" fillId="0" borderId="0" xfId="0" applyNumberFormat="1"/>
    <xf numFmtId="0" fontId="2" fillId="10" borderId="0" xfId="0" applyFont="1" applyFill="1" applyAlignment="1">
      <alignment horizontal="center" vertical="center" wrapText="1"/>
    </xf>
    <xf numFmtId="0" fontId="3" fillId="0" borderId="0" xfId="0" applyFont="1" applyAlignment="1">
      <alignment vertical="center" wrapText="1"/>
    </xf>
    <xf numFmtId="0" fontId="11" fillId="0" borderId="0" xfId="0" applyFont="1"/>
    <xf numFmtId="0" fontId="0" fillId="10" borderId="2" xfId="0" applyFill="1" applyBorder="1"/>
    <xf numFmtId="0" fontId="0" fillId="0" borderId="0" xfId="0" pivotButton="1"/>
    <xf numFmtId="0" fontId="0" fillId="0" borderId="0" xfId="0" applyAlignment="1">
      <alignment horizontal="left"/>
    </xf>
    <xf numFmtId="0" fontId="0" fillId="0" borderId="0" xfId="0" applyNumberFormat="1"/>
    <xf numFmtId="0" fontId="16" fillId="0" borderId="0" xfId="0" applyFont="1" applyAlignment="1">
      <alignment vertical="center" wrapText="1"/>
    </xf>
    <xf numFmtId="0" fontId="17" fillId="0" borderId="0" xfId="0" applyFont="1" applyAlignment="1">
      <alignment horizontal="left" vertical="center" wrapText="1" indent="1"/>
    </xf>
    <xf numFmtId="9" fontId="17" fillId="0" borderId="0" xfId="0" applyNumberFormat="1" applyFont="1" applyAlignment="1">
      <alignment horizontal="left" vertical="center" wrapText="1" indent="1"/>
    </xf>
    <xf numFmtId="0" fontId="19" fillId="13" borderId="0" xfId="0" applyFont="1" applyFill="1" applyAlignment="1">
      <alignment horizontal="left" vertical="center" wrapText="1" indent="1"/>
    </xf>
    <xf numFmtId="43" fontId="18" fillId="0" borderId="0" xfId="1" applyFont="1" applyAlignment="1">
      <alignment horizontal="left" vertical="center" wrapText="1" indent="1"/>
    </xf>
    <xf numFmtId="8" fontId="18" fillId="0" borderId="0" xfId="1" applyNumberFormat="1" applyFont="1" applyAlignment="1">
      <alignment horizontal="left" vertical="center" wrapText="1" indent="1"/>
    </xf>
    <xf numFmtId="8" fontId="0" fillId="0" borderId="0" xfId="0" applyNumberFormat="1"/>
    <xf numFmtId="0" fontId="20" fillId="0" borderId="0" xfId="0" applyFont="1" applyAlignment="1">
      <alignment horizontal="center" vertical="center" wrapText="1"/>
    </xf>
    <xf numFmtId="0" fontId="14" fillId="0" borderId="2" xfId="0" applyFont="1" applyBorder="1" applyAlignment="1">
      <alignment horizontal="left" vertical="center" wrapText="1" indent="1"/>
    </xf>
    <xf numFmtId="0" fontId="15" fillId="0" borderId="2" xfId="0" applyFont="1" applyBorder="1" applyAlignment="1">
      <alignment horizontal="left" vertical="center" wrapText="1" indent="1"/>
    </xf>
    <xf numFmtId="8" fontId="15" fillId="0" borderId="2" xfId="0" applyNumberFormat="1" applyFont="1" applyBorder="1" applyAlignment="1">
      <alignment horizontal="left" vertical="center" wrapText="1" indent="1"/>
    </xf>
    <xf numFmtId="0" fontId="22" fillId="14" borderId="2" xfId="0" applyFont="1" applyFill="1" applyBorder="1" applyAlignment="1">
      <alignment horizontal="left" vertical="center" wrapText="1" indent="1"/>
    </xf>
    <xf numFmtId="0" fontId="21" fillId="13" borderId="2" xfId="0" applyFont="1" applyFill="1" applyBorder="1" applyAlignment="1">
      <alignment horizontal="left" vertical="center" wrapText="1" indent="1"/>
    </xf>
    <xf numFmtId="0" fontId="22" fillId="14" borderId="0" xfId="0" applyFont="1" applyFill="1" applyBorder="1" applyAlignment="1">
      <alignment horizontal="left" vertical="center" wrapText="1" indent="1"/>
    </xf>
    <xf numFmtId="0" fontId="2" fillId="10" borderId="0" xfId="0" applyFont="1" applyFill="1"/>
    <xf numFmtId="0" fontId="24" fillId="10" borderId="2" xfId="0" applyFont="1" applyFill="1" applyBorder="1"/>
    <xf numFmtId="0" fontId="25" fillId="10" borderId="2" xfId="0" applyFont="1" applyFill="1" applyBorder="1" applyAlignment="1">
      <alignment vertical="center" wrapText="1"/>
    </xf>
    <xf numFmtId="0" fontId="26" fillId="0" borderId="2" xfId="0" applyFont="1" applyBorder="1"/>
    <xf numFmtId="0" fontId="27" fillId="0" borderId="2" xfId="0" applyFont="1" applyBorder="1" applyAlignment="1">
      <alignment vertical="center" wrapText="1"/>
    </xf>
    <xf numFmtId="0" fontId="5" fillId="0" borderId="2" xfId="0" applyFont="1" applyBorder="1" applyAlignment="1">
      <alignment horizontal="center"/>
    </xf>
    <xf numFmtId="0" fontId="5" fillId="0" borderId="3" xfId="0" applyFont="1" applyBorder="1" applyAlignment="1">
      <alignment horizontal="center"/>
    </xf>
    <xf numFmtId="0" fontId="0" fillId="0" borderId="0" xfId="0" applyBorder="1" applyAlignment="1">
      <alignment horizontal="center"/>
    </xf>
    <xf numFmtId="0" fontId="4" fillId="0" borderId="2" xfId="0" applyFont="1" applyBorder="1" applyAlignment="1">
      <alignment horizontal="center"/>
    </xf>
    <xf numFmtId="0" fontId="8" fillId="7" borderId="0" xfId="0" applyFont="1" applyFill="1" applyAlignment="1">
      <alignment horizontal="center"/>
    </xf>
    <xf numFmtId="0" fontId="4" fillId="0" borderId="0" xfId="0" applyFont="1" applyAlignment="1">
      <alignment horizontal="center"/>
    </xf>
    <xf numFmtId="0" fontId="3" fillId="12" borderId="3" xfId="0" applyFont="1" applyFill="1" applyBorder="1" applyAlignment="1">
      <alignment horizontal="center"/>
    </xf>
    <xf numFmtId="0" fontId="3" fillId="12" borderId="4" xfId="0" applyFont="1" applyFill="1" applyBorder="1" applyAlignment="1">
      <alignment horizontal="center"/>
    </xf>
    <xf numFmtId="0" fontId="10" fillId="0" borderId="0" xfId="0" applyFont="1" applyAlignment="1">
      <alignment horizontal="center"/>
    </xf>
    <xf numFmtId="0" fontId="3" fillId="12" borderId="2" xfId="0" applyFont="1" applyFill="1" applyBorder="1" applyAlignment="1">
      <alignment horizontal="center"/>
    </xf>
    <xf numFmtId="0" fontId="3" fillId="10" borderId="2" xfId="0" applyFont="1" applyFill="1" applyBorder="1" applyAlignment="1">
      <alignment horizontal="center"/>
    </xf>
    <xf numFmtId="0" fontId="12" fillId="13" borderId="0" xfId="0" applyFont="1" applyFill="1" applyAlignment="1">
      <alignment horizontal="center"/>
    </xf>
    <xf numFmtId="0" fontId="5" fillId="0" borderId="0" xfId="0" applyFont="1" applyAlignment="1">
      <alignment horizontal="center"/>
    </xf>
    <xf numFmtId="0" fontId="20" fillId="0" borderId="0" xfId="0" applyFont="1" applyAlignment="1">
      <alignment horizontal="center" vertical="center" wrapText="1"/>
    </xf>
    <xf numFmtId="0" fontId="20" fillId="0" borderId="2" xfId="0" applyFont="1" applyBorder="1" applyAlignment="1">
      <alignment horizontal="center" vertical="center" wrapText="1"/>
    </xf>
    <xf numFmtId="0" fontId="16" fillId="0" borderId="0" xfId="0" applyFont="1" applyAlignment="1">
      <alignment horizontal="center" vertical="center" wrapText="1"/>
    </xf>
    <xf numFmtId="0" fontId="7" fillId="0" borderId="0" xfId="0" applyFont="1" applyAlignment="1">
      <alignment horizontal="center"/>
    </xf>
    <xf numFmtId="0" fontId="7" fillId="0" borderId="1" xfId="0" applyFont="1" applyBorder="1" applyAlignment="1">
      <alignment horizontal="center"/>
    </xf>
    <xf numFmtId="0" fontId="23" fillId="15" borderId="0" xfId="0" applyFont="1" applyFill="1" applyAlignment="1">
      <alignment horizontal="center"/>
    </xf>
    <xf numFmtId="0" fontId="28" fillId="10" borderId="2" xfId="0" applyFont="1" applyFill="1" applyBorder="1" applyAlignment="1">
      <alignment horizontal="center"/>
    </xf>
    <xf numFmtId="0" fontId="0" fillId="0" borderId="0" xfId="0" applyAlignment="1">
      <alignment horizontal="center"/>
    </xf>
    <xf numFmtId="0" fontId="29" fillId="0" borderId="3" xfId="0" applyFont="1" applyBorder="1" applyAlignment="1">
      <alignment horizontal="center" vertical="center" textRotation="90" wrapText="1"/>
    </xf>
    <xf numFmtId="0" fontId="29" fillId="0" borderId="5" xfId="0" applyFont="1" applyBorder="1" applyAlignment="1">
      <alignment horizontal="center" vertical="center" textRotation="90" wrapText="1"/>
    </xf>
    <xf numFmtId="0" fontId="29" fillId="0" borderId="4" xfId="0" applyFont="1" applyBorder="1" applyAlignment="1">
      <alignment horizontal="center" vertical="center" textRotation="90" wrapText="1"/>
    </xf>
  </cellXfs>
  <cellStyles count="2">
    <cellStyle name="Comma" xfId="1" builtinId="3"/>
    <cellStyle name="Normal" xfId="0" builtinId="0"/>
  </cellStyles>
  <dxfs count="7">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 tracker'!$B$1:$B$2</c:f>
              <c:strCache>
                <c:ptCount val="2"/>
                <c:pt idx="0">
                  <c:v>Sales Tracker</c:v>
                </c:pt>
                <c:pt idx="1">
                  <c:v>Product A</c:v>
                </c:pt>
              </c:strCache>
            </c:strRef>
          </c:tx>
          <c:spPr>
            <a:solidFill>
              <a:schemeClr val="accent1"/>
            </a:solidFill>
            <a:ln>
              <a:noFill/>
            </a:ln>
            <a:effectLst/>
          </c:spPr>
          <c:invertIfNegative val="0"/>
          <c:cat>
            <c:strRef>
              <c:f>'Sales tracker'!$A$3:$A$7</c:f>
              <c:strCache>
                <c:ptCount val="5"/>
                <c:pt idx="0">
                  <c:v>Jan</c:v>
                </c:pt>
                <c:pt idx="1">
                  <c:v>Feb</c:v>
                </c:pt>
                <c:pt idx="2">
                  <c:v>Mar</c:v>
                </c:pt>
                <c:pt idx="3">
                  <c:v>Apr</c:v>
                </c:pt>
                <c:pt idx="4">
                  <c:v>May</c:v>
                </c:pt>
              </c:strCache>
            </c:strRef>
          </c:cat>
          <c:val>
            <c:numRef>
              <c:f>'Sales tracker'!$B$3:$B$7</c:f>
              <c:numCache>
                <c:formatCode>General</c:formatCode>
                <c:ptCount val="5"/>
                <c:pt idx="0">
                  <c:v>50000</c:v>
                </c:pt>
                <c:pt idx="1">
                  <c:v>60000</c:v>
                </c:pt>
                <c:pt idx="2">
                  <c:v>55000</c:v>
                </c:pt>
                <c:pt idx="3">
                  <c:v>70000</c:v>
                </c:pt>
                <c:pt idx="4">
                  <c:v>65000</c:v>
                </c:pt>
              </c:numCache>
            </c:numRef>
          </c:val>
          <c:extLst>
            <c:ext xmlns:c16="http://schemas.microsoft.com/office/drawing/2014/chart" uri="{C3380CC4-5D6E-409C-BE32-E72D297353CC}">
              <c16:uniqueId val="{00000000-76AE-405E-AB06-BE6E7FB892E5}"/>
            </c:ext>
          </c:extLst>
        </c:ser>
        <c:ser>
          <c:idx val="1"/>
          <c:order val="1"/>
          <c:tx>
            <c:strRef>
              <c:f>'Sales tracker'!$C$1:$C$2</c:f>
              <c:strCache>
                <c:ptCount val="2"/>
                <c:pt idx="0">
                  <c:v>Sales Tracker</c:v>
                </c:pt>
                <c:pt idx="1">
                  <c:v>Product B</c:v>
                </c:pt>
              </c:strCache>
            </c:strRef>
          </c:tx>
          <c:spPr>
            <a:solidFill>
              <a:schemeClr val="accent2"/>
            </a:solidFill>
            <a:ln>
              <a:noFill/>
            </a:ln>
            <a:effectLst/>
          </c:spPr>
          <c:invertIfNegative val="0"/>
          <c:cat>
            <c:strRef>
              <c:f>'Sales tracker'!$A$3:$A$7</c:f>
              <c:strCache>
                <c:ptCount val="5"/>
                <c:pt idx="0">
                  <c:v>Jan</c:v>
                </c:pt>
                <c:pt idx="1">
                  <c:v>Feb</c:v>
                </c:pt>
                <c:pt idx="2">
                  <c:v>Mar</c:v>
                </c:pt>
                <c:pt idx="3">
                  <c:v>Apr</c:v>
                </c:pt>
                <c:pt idx="4">
                  <c:v>May</c:v>
                </c:pt>
              </c:strCache>
            </c:strRef>
          </c:cat>
          <c:val>
            <c:numRef>
              <c:f>'Sales tracker'!$C$3:$C$7</c:f>
              <c:numCache>
                <c:formatCode>General</c:formatCode>
                <c:ptCount val="5"/>
                <c:pt idx="0">
                  <c:v>45000</c:v>
                </c:pt>
                <c:pt idx="1">
                  <c:v>40000</c:v>
                </c:pt>
                <c:pt idx="2">
                  <c:v>48000</c:v>
                </c:pt>
                <c:pt idx="3">
                  <c:v>52000</c:v>
                </c:pt>
                <c:pt idx="4">
                  <c:v>50000</c:v>
                </c:pt>
              </c:numCache>
            </c:numRef>
          </c:val>
          <c:extLst>
            <c:ext xmlns:c16="http://schemas.microsoft.com/office/drawing/2014/chart" uri="{C3380CC4-5D6E-409C-BE32-E72D297353CC}">
              <c16:uniqueId val="{00000001-76AE-405E-AB06-BE6E7FB892E5}"/>
            </c:ext>
          </c:extLst>
        </c:ser>
        <c:ser>
          <c:idx val="2"/>
          <c:order val="2"/>
          <c:tx>
            <c:strRef>
              <c:f>'Sales tracker'!$D$1:$D$2</c:f>
              <c:strCache>
                <c:ptCount val="2"/>
                <c:pt idx="0">
                  <c:v>Sales Tracker</c:v>
                </c:pt>
                <c:pt idx="1">
                  <c:v>Product C</c:v>
                </c:pt>
              </c:strCache>
            </c:strRef>
          </c:tx>
          <c:spPr>
            <a:solidFill>
              <a:schemeClr val="accent3"/>
            </a:solidFill>
            <a:ln>
              <a:noFill/>
            </a:ln>
            <a:effectLst/>
          </c:spPr>
          <c:invertIfNegative val="0"/>
          <c:cat>
            <c:strRef>
              <c:f>'Sales tracker'!$A$3:$A$7</c:f>
              <c:strCache>
                <c:ptCount val="5"/>
                <c:pt idx="0">
                  <c:v>Jan</c:v>
                </c:pt>
                <c:pt idx="1">
                  <c:v>Feb</c:v>
                </c:pt>
                <c:pt idx="2">
                  <c:v>Mar</c:v>
                </c:pt>
                <c:pt idx="3">
                  <c:v>Apr</c:v>
                </c:pt>
                <c:pt idx="4">
                  <c:v>May</c:v>
                </c:pt>
              </c:strCache>
            </c:strRef>
          </c:cat>
          <c:val>
            <c:numRef>
              <c:f>'Sales tracker'!$D$3:$D$7</c:f>
              <c:numCache>
                <c:formatCode>General</c:formatCode>
                <c:ptCount val="5"/>
                <c:pt idx="0">
                  <c:v>30000</c:v>
                </c:pt>
                <c:pt idx="1">
                  <c:v>35000</c:v>
                </c:pt>
                <c:pt idx="2">
                  <c:v>38000</c:v>
                </c:pt>
                <c:pt idx="3">
                  <c:v>40000</c:v>
                </c:pt>
                <c:pt idx="4">
                  <c:v>42000</c:v>
                </c:pt>
              </c:numCache>
            </c:numRef>
          </c:val>
          <c:extLst>
            <c:ext xmlns:c16="http://schemas.microsoft.com/office/drawing/2014/chart" uri="{C3380CC4-5D6E-409C-BE32-E72D297353CC}">
              <c16:uniqueId val="{00000002-76AE-405E-AB06-BE6E7FB892E5}"/>
            </c:ext>
          </c:extLst>
        </c:ser>
        <c:ser>
          <c:idx val="3"/>
          <c:order val="3"/>
          <c:tx>
            <c:strRef>
              <c:f>'Sales tracker'!$E$1:$E$2</c:f>
              <c:strCache>
                <c:ptCount val="2"/>
                <c:pt idx="0">
                  <c:v>Sales Tracker</c:v>
                </c:pt>
                <c:pt idx="1">
                  <c:v>Total Sales</c:v>
                </c:pt>
              </c:strCache>
            </c:strRef>
          </c:tx>
          <c:spPr>
            <a:solidFill>
              <a:schemeClr val="accent4"/>
            </a:solidFill>
            <a:ln>
              <a:noFill/>
            </a:ln>
            <a:effectLst/>
          </c:spPr>
          <c:invertIfNegative val="0"/>
          <c:cat>
            <c:strRef>
              <c:f>'Sales tracker'!$A$3:$A$7</c:f>
              <c:strCache>
                <c:ptCount val="5"/>
                <c:pt idx="0">
                  <c:v>Jan</c:v>
                </c:pt>
                <c:pt idx="1">
                  <c:v>Feb</c:v>
                </c:pt>
                <c:pt idx="2">
                  <c:v>Mar</c:v>
                </c:pt>
                <c:pt idx="3">
                  <c:v>Apr</c:v>
                </c:pt>
                <c:pt idx="4">
                  <c:v>May</c:v>
                </c:pt>
              </c:strCache>
            </c:strRef>
          </c:cat>
          <c:val>
            <c:numRef>
              <c:f>'Sales tracker'!$E$3:$E$7</c:f>
              <c:numCache>
                <c:formatCode>General</c:formatCode>
                <c:ptCount val="5"/>
                <c:pt idx="0">
                  <c:v>125000</c:v>
                </c:pt>
                <c:pt idx="1">
                  <c:v>135000</c:v>
                </c:pt>
                <c:pt idx="2">
                  <c:v>141000</c:v>
                </c:pt>
                <c:pt idx="3">
                  <c:v>162000</c:v>
                </c:pt>
                <c:pt idx="4">
                  <c:v>157000</c:v>
                </c:pt>
              </c:numCache>
            </c:numRef>
          </c:val>
          <c:extLst>
            <c:ext xmlns:c16="http://schemas.microsoft.com/office/drawing/2014/chart" uri="{C3380CC4-5D6E-409C-BE32-E72D297353CC}">
              <c16:uniqueId val="{00000003-76AE-405E-AB06-BE6E7FB892E5}"/>
            </c:ext>
          </c:extLst>
        </c:ser>
        <c:dLbls>
          <c:showLegendKey val="0"/>
          <c:showVal val="0"/>
          <c:showCatName val="0"/>
          <c:showSerName val="0"/>
          <c:showPercent val="0"/>
          <c:showBubbleSize val="0"/>
        </c:dLbls>
        <c:gapWidth val="219"/>
        <c:overlap val="-27"/>
        <c:axId val="1538982175"/>
        <c:axId val="1538983135"/>
      </c:barChart>
      <c:catAx>
        <c:axId val="153898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83135"/>
        <c:crosses val="autoZero"/>
        <c:auto val="1"/>
        <c:lblAlgn val="ctr"/>
        <c:lblOffset val="100"/>
        <c:noMultiLvlLbl val="0"/>
      </c:catAx>
      <c:valAx>
        <c:axId val="153898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8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all.xlsx]Pivot_chart!PivotTable2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Pivot_chart!$B$3:$B$4</c:f>
              <c:strCache>
                <c:ptCount val="1"/>
                <c:pt idx="0">
                  <c:v>2.5 Litre</c:v>
                </c:pt>
              </c:strCache>
            </c:strRef>
          </c:tx>
          <c:spPr>
            <a:solidFill>
              <a:schemeClr val="accent1"/>
            </a:solidFill>
            <a:ln>
              <a:noFill/>
            </a:ln>
            <a:effectLst/>
          </c:spPr>
          <c:invertIfNegative val="0"/>
          <c:cat>
            <c:strRef>
              <c:f>Pivot_chart!$A$5:$A$8</c:f>
              <c:strCache>
                <c:ptCount val="3"/>
                <c:pt idx="0">
                  <c:v>Dadu</c:v>
                </c:pt>
                <c:pt idx="1">
                  <c:v>Karachi</c:v>
                </c:pt>
                <c:pt idx="2">
                  <c:v>Sukkur</c:v>
                </c:pt>
              </c:strCache>
            </c:strRef>
          </c:cat>
          <c:val>
            <c:numRef>
              <c:f>Pivot_chart!$B$5:$B$8</c:f>
              <c:numCache>
                <c:formatCode>General</c:formatCode>
                <c:ptCount val="3"/>
                <c:pt idx="0">
                  <c:v>24000</c:v>
                </c:pt>
                <c:pt idx="1">
                  <c:v>32000</c:v>
                </c:pt>
                <c:pt idx="2">
                  <c:v>16000</c:v>
                </c:pt>
              </c:numCache>
            </c:numRef>
          </c:val>
          <c:extLst>
            <c:ext xmlns:c16="http://schemas.microsoft.com/office/drawing/2014/chart" uri="{C3380CC4-5D6E-409C-BE32-E72D297353CC}">
              <c16:uniqueId val="{00000000-0F0C-4518-B533-766B837FC41C}"/>
            </c:ext>
          </c:extLst>
        </c:ser>
        <c:dLbls>
          <c:showLegendKey val="0"/>
          <c:showVal val="0"/>
          <c:showCatName val="0"/>
          <c:showSerName val="0"/>
          <c:showPercent val="0"/>
          <c:showBubbleSize val="0"/>
        </c:dLbls>
        <c:gapWidth val="219"/>
        <c:overlap val="-27"/>
        <c:axId val="1714815519"/>
        <c:axId val="1714813119"/>
      </c:barChart>
      <c:catAx>
        <c:axId val="171481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13119"/>
        <c:crosses val="autoZero"/>
        <c:auto val="1"/>
        <c:lblAlgn val="ctr"/>
        <c:lblOffset val="100"/>
        <c:noMultiLvlLbl val="0"/>
      </c:catAx>
      <c:valAx>
        <c:axId val="171481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1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244928</xdr:colOff>
      <xdr:row>0</xdr:row>
      <xdr:rowOff>142194</xdr:rowOff>
    </xdr:from>
    <xdr:to>
      <xdr:col>11</xdr:col>
      <xdr:colOff>442232</xdr:colOff>
      <xdr:row>12</xdr:row>
      <xdr:rowOff>88446</xdr:rowOff>
    </xdr:to>
    <xdr:graphicFrame macro="">
      <xdr:nvGraphicFramePr>
        <xdr:cNvPr id="3" name="Chart 2">
          <a:extLst>
            <a:ext uri="{FF2B5EF4-FFF2-40B4-BE49-F238E27FC236}">
              <a16:creationId xmlns:a16="http://schemas.microsoft.com/office/drawing/2014/main" id="{2C0C1F51-71A6-294F-07B7-57328546B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209550</xdr:colOff>
      <xdr:row>8</xdr:row>
      <xdr:rowOff>171450</xdr:rowOff>
    </xdr:from>
    <xdr:to>
      <xdr:col>1</xdr:col>
      <xdr:colOff>914400</xdr:colOff>
      <xdr:row>22</xdr:row>
      <xdr:rowOff>171450</xdr:rowOff>
    </xdr:to>
    <mc:AlternateContent xmlns:mc="http://schemas.openxmlformats.org/markup-compatibility/2006" xmlns:a14="http://schemas.microsoft.com/office/drawing/2010/main">
      <mc:Choice Requires="a14">
        <xdr:graphicFrame macro="">
          <xdr:nvGraphicFramePr>
            <xdr:cNvPr id="2" name="CITIES">
              <a:extLst>
                <a:ext uri="{FF2B5EF4-FFF2-40B4-BE49-F238E27FC236}">
                  <a16:creationId xmlns:a16="http://schemas.microsoft.com/office/drawing/2014/main" id="{1F52446C-FD88-6C61-CF0E-95B6FC33A87C}"/>
                </a:ext>
              </a:extLst>
            </xdr:cNvPr>
            <xdr:cNvGraphicFramePr/>
          </xdr:nvGraphicFramePr>
          <xdr:xfrm>
            <a:off x="0" y="0"/>
            <a:ext cx="0" cy="0"/>
          </xdr:xfrm>
          <a:graphic>
            <a:graphicData uri="http://schemas.microsoft.com/office/drawing/2010/slicer">
              <sle:slicer xmlns:sle="http://schemas.microsoft.com/office/drawing/2010/slicer" name="CITIES"/>
            </a:graphicData>
          </a:graphic>
        </xdr:graphicFrame>
      </mc:Choice>
      <mc:Fallback xmlns="">
        <xdr:sp macro="" textlink="">
          <xdr:nvSpPr>
            <xdr:cNvPr id="0" name=""/>
            <xdr:cNvSpPr>
              <a:spLocks noTextEdit="1"/>
            </xdr:cNvSpPr>
          </xdr:nvSpPr>
          <xdr:spPr>
            <a:xfrm>
              <a:off x="209550" y="16954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xdr:colOff>
      <xdr:row>9</xdr:row>
      <xdr:rowOff>0</xdr:rowOff>
    </xdr:from>
    <xdr:to>
      <xdr:col>5</xdr:col>
      <xdr:colOff>152400</xdr:colOff>
      <xdr:row>23</xdr:row>
      <xdr:rowOff>0</xdr:rowOff>
    </xdr:to>
    <mc:AlternateContent xmlns:mc="http://schemas.openxmlformats.org/markup-compatibility/2006" xmlns:a14="http://schemas.microsoft.com/office/drawing/2010/main">
      <mc:Choice Requires="a14">
        <xdr:graphicFrame macro="">
          <xdr:nvGraphicFramePr>
            <xdr:cNvPr id="3" name="SIZE">
              <a:extLst>
                <a:ext uri="{FF2B5EF4-FFF2-40B4-BE49-F238E27FC236}">
                  <a16:creationId xmlns:a16="http://schemas.microsoft.com/office/drawing/2014/main" id="{9DECECF3-8431-308E-710C-45C84046B57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2257425" y="1714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11</xdr:row>
      <xdr:rowOff>47625</xdr:rowOff>
    </xdr:from>
    <xdr:to>
      <xdr:col>6</xdr:col>
      <xdr:colOff>152400</xdr:colOff>
      <xdr:row>25</xdr:row>
      <xdr:rowOff>123825</xdr:rowOff>
    </xdr:to>
    <xdr:graphicFrame macro="">
      <xdr:nvGraphicFramePr>
        <xdr:cNvPr id="2" name="Chart 1">
          <a:extLst>
            <a:ext uri="{FF2B5EF4-FFF2-40B4-BE49-F238E27FC236}">
              <a16:creationId xmlns:a16="http://schemas.microsoft.com/office/drawing/2014/main" id="{E70223B2-3517-0720-9115-C6E6A29D4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57150</xdr:colOff>
      <xdr:row>2</xdr:row>
      <xdr:rowOff>19050</xdr:rowOff>
    </xdr:from>
    <xdr:to>
      <xdr:col>6</xdr:col>
      <xdr:colOff>123825</xdr:colOff>
      <xdr:row>10</xdr:row>
      <xdr:rowOff>161925</xdr:rowOff>
    </xdr:to>
    <mc:AlternateContent xmlns:mc="http://schemas.openxmlformats.org/markup-compatibility/2006" xmlns:a14="http://schemas.microsoft.com/office/drawing/2010/main">
      <mc:Choice Requires="a14">
        <xdr:graphicFrame macro="">
          <xdr:nvGraphicFramePr>
            <xdr:cNvPr id="3" name="SIZE 1">
              <a:extLst>
                <a:ext uri="{FF2B5EF4-FFF2-40B4-BE49-F238E27FC236}">
                  <a16:creationId xmlns:a16="http://schemas.microsoft.com/office/drawing/2014/main" id="{5A52608D-3323-4A5B-DBDB-518D69CE372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3057525" y="400050"/>
              <a:ext cx="182880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 Asghar" refreshedDate="46069.813815162037" createdVersion="8" refreshedVersion="8" minRefreshableVersion="3" recordCount="17" xr:uid="{8CA9E74D-5263-467E-BD09-A2F7FAC1EA12}">
  <cacheSource type="worksheet">
    <worksheetSource ref="C4:G21" sheet="Pivot tables"/>
  </cacheSource>
  <cacheFields count="5">
    <cacheField name="SR#" numFmtId="0">
      <sharedItems containsSemiMixedTypes="0" containsString="0" containsNumber="1" containsInteger="1" minValue="1" maxValue="17"/>
    </cacheField>
    <cacheField name="CITIES" numFmtId="0">
      <sharedItems count="5">
        <s v="Hyderabad"/>
        <s v="Sukkur"/>
        <s v="Karachi"/>
        <s v="Dadu"/>
        <s v="Jamshoro"/>
      </sharedItems>
    </cacheField>
    <cacheField name="MONTHS" numFmtId="0">
      <sharedItems count="3">
        <s v="Jan"/>
        <s v="Feb"/>
        <s v="Mar"/>
      </sharedItems>
    </cacheField>
    <cacheField name="SIZE" numFmtId="0">
      <sharedItems count="4">
        <s v="1 litre"/>
        <s v="2 Litre"/>
        <s v="2.5 Litre"/>
        <s v="500 ML"/>
      </sharedItems>
    </cacheField>
    <cacheField name="QUANTITY" numFmtId="0">
      <sharedItems containsSemiMixedTypes="0" containsString="0" containsNumber="1" containsInteger="1" minValue="10000" maxValue="26000"/>
    </cacheField>
  </cacheFields>
  <extLst>
    <ext xmlns:x14="http://schemas.microsoft.com/office/spreadsheetml/2009/9/main" uri="{725AE2AE-9491-48be-B2B4-4EB974FC3084}">
      <x14:pivotCacheDefinition pivotCacheId="3739552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 Asghar" refreshedDate="46069.824228124999" createdVersion="8" refreshedVersion="8" minRefreshableVersion="3" recordCount="17" xr:uid="{3B1AFBFC-8FB2-4575-AECF-79AA62A092BA}">
  <cacheSource type="worksheet">
    <worksheetSource ref="A3:E20" sheet="PIVOT CHARTS"/>
  </cacheSource>
  <cacheFields count="5">
    <cacheField name="SR#" numFmtId="0">
      <sharedItems containsSemiMixedTypes="0" containsString="0" containsNumber="1" containsInteger="1" minValue="1" maxValue="17"/>
    </cacheField>
    <cacheField name="CITIES" numFmtId="0">
      <sharedItems count="5">
        <s v="Hyderabad"/>
        <s v="Sukkur"/>
        <s v="Karachi"/>
        <s v="Dadu"/>
        <s v="Jamshoro"/>
      </sharedItems>
    </cacheField>
    <cacheField name="MONTHS" numFmtId="0">
      <sharedItems count="3">
        <s v="Jan"/>
        <s v="Feb"/>
        <s v="Mar"/>
      </sharedItems>
    </cacheField>
    <cacheField name="SIZE" numFmtId="0">
      <sharedItems count="4">
        <s v="1 litre"/>
        <s v="2 Litre"/>
        <s v="2.5 Litre"/>
        <s v="500 ML"/>
      </sharedItems>
    </cacheField>
    <cacheField name="QUANTITY" numFmtId="0">
      <sharedItems containsSemiMixedTypes="0" containsString="0" containsNumber="1" containsInteger="1" minValue="10000" maxValue="26000"/>
    </cacheField>
  </cacheFields>
  <extLst>
    <ext xmlns:x14="http://schemas.microsoft.com/office/spreadsheetml/2009/9/main" uri="{725AE2AE-9491-48be-B2B4-4EB974FC3084}">
      <x14:pivotCacheDefinition pivotCacheId="1516558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x v="0"/>
    <x v="0"/>
    <x v="0"/>
    <n v="10000"/>
  </r>
  <r>
    <n v="2"/>
    <x v="1"/>
    <x v="1"/>
    <x v="1"/>
    <n v="11000"/>
  </r>
  <r>
    <n v="3"/>
    <x v="2"/>
    <x v="2"/>
    <x v="2"/>
    <n v="12000"/>
  </r>
  <r>
    <n v="4"/>
    <x v="3"/>
    <x v="0"/>
    <x v="3"/>
    <n v="13000"/>
  </r>
  <r>
    <n v="5"/>
    <x v="4"/>
    <x v="1"/>
    <x v="0"/>
    <n v="14000"/>
  </r>
  <r>
    <n v="6"/>
    <x v="0"/>
    <x v="2"/>
    <x v="1"/>
    <n v="15000"/>
  </r>
  <r>
    <n v="7"/>
    <x v="1"/>
    <x v="0"/>
    <x v="2"/>
    <n v="16000"/>
  </r>
  <r>
    <n v="8"/>
    <x v="2"/>
    <x v="1"/>
    <x v="3"/>
    <n v="17000"/>
  </r>
  <r>
    <n v="9"/>
    <x v="3"/>
    <x v="2"/>
    <x v="0"/>
    <n v="18000"/>
  </r>
  <r>
    <n v="10"/>
    <x v="4"/>
    <x v="0"/>
    <x v="1"/>
    <n v="19000"/>
  </r>
  <r>
    <n v="11"/>
    <x v="2"/>
    <x v="1"/>
    <x v="2"/>
    <n v="20000"/>
  </r>
  <r>
    <n v="12"/>
    <x v="3"/>
    <x v="2"/>
    <x v="3"/>
    <n v="21000"/>
  </r>
  <r>
    <n v="13"/>
    <x v="1"/>
    <x v="0"/>
    <x v="0"/>
    <n v="22000"/>
  </r>
  <r>
    <n v="14"/>
    <x v="0"/>
    <x v="1"/>
    <x v="1"/>
    <n v="23000"/>
  </r>
  <r>
    <n v="15"/>
    <x v="3"/>
    <x v="2"/>
    <x v="2"/>
    <n v="24000"/>
  </r>
  <r>
    <n v="16"/>
    <x v="2"/>
    <x v="0"/>
    <x v="3"/>
    <n v="25000"/>
  </r>
  <r>
    <n v="17"/>
    <x v="4"/>
    <x v="1"/>
    <x v="0"/>
    <n v="26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x v="0"/>
    <x v="0"/>
    <x v="0"/>
    <n v="10000"/>
  </r>
  <r>
    <n v="2"/>
    <x v="1"/>
    <x v="1"/>
    <x v="1"/>
    <n v="11000"/>
  </r>
  <r>
    <n v="3"/>
    <x v="2"/>
    <x v="2"/>
    <x v="2"/>
    <n v="12000"/>
  </r>
  <r>
    <n v="4"/>
    <x v="3"/>
    <x v="0"/>
    <x v="3"/>
    <n v="13000"/>
  </r>
  <r>
    <n v="5"/>
    <x v="4"/>
    <x v="1"/>
    <x v="0"/>
    <n v="14000"/>
  </r>
  <r>
    <n v="6"/>
    <x v="0"/>
    <x v="2"/>
    <x v="1"/>
    <n v="15000"/>
  </r>
  <r>
    <n v="7"/>
    <x v="1"/>
    <x v="0"/>
    <x v="2"/>
    <n v="16000"/>
  </r>
  <r>
    <n v="8"/>
    <x v="2"/>
    <x v="1"/>
    <x v="3"/>
    <n v="17000"/>
  </r>
  <r>
    <n v="9"/>
    <x v="3"/>
    <x v="2"/>
    <x v="0"/>
    <n v="18000"/>
  </r>
  <r>
    <n v="10"/>
    <x v="4"/>
    <x v="0"/>
    <x v="1"/>
    <n v="19000"/>
  </r>
  <r>
    <n v="11"/>
    <x v="2"/>
    <x v="1"/>
    <x v="2"/>
    <n v="20000"/>
  </r>
  <r>
    <n v="12"/>
    <x v="3"/>
    <x v="2"/>
    <x v="3"/>
    <n v="21000"/>
  </r>
  <r>
    <n v="13"/>
    <x v="1"/>
    <x v="0"/>
    <x v="0"/>
    <n v="22000"/>
  </r>
  <r>
    <n v="14"/>
    <x v="0"/>
    <x v="1"/>
    <x v="1"/>
    <n v="23000"/>
  </r>
  <r>
    <n v="15"/>
    <x v="3"/>
    <x v="2"/>
    <x v="2"/>
    <n v="24000"/>
  </r>
  <r>
    <n v="16"/>
    <x v="2"/>
    <x v="0"/>
    <x v="3"/>
    <n v="25000"/>
  </r>
  <r>
    <n v="17"/>
    <x v="4"/>
    <x v="1"/>
    <x v="0"/>
    <n v="2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B1EB43-19E8-4823-B1DF-A74920677C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1" firstDataRow="2" firstDataCol="1" rowPageCount="1" colPageCount="1"/>
  <pivotFields count="5">
    <pivotField showAll="0"/>
    <pivotField axis="axisRow" showAll="0">
      <items count="6">
        <item x="3"/>
        <item h="1" x="0"/>
        <item h="1" x="4"/>
        <item h="1" x="2"/>
        <item h="1" x="1"/>
        <item t="default"/>
      </items>
    </pivotField>
    <pivotField axis="axisPage" multipleItemSelectionAllowed="1" showAll="0">
      <items count="4">
        <item x="0"/>
        <item x="1"/>
        <item x="2"/>
        <item t="default"/>
      </items>
    </pivotField>
    <pivotField axis="axisCol" showAll="0">
      <items count="5">
        <item h="1" x="0"/>
        <item h="1" x="1"/>
        <item x="2"/>
        <item x="3"/>
        <item t="default"/>
      </items>
    </pivotField>
    <pivotField dataField="1" showAll="0"/>
  </pivotFields>
  <rowFields count="1">
    <field x="1"/>
  </rowFields>
  <rowItems count="2">
    <i>
      <x/>
    </i>
    <i t="grand">
      <x/>
    </i>
  </rowItems>
  <colFields count="1">
    <field x="3"/>
  </colFields>
  <colItems count="3">
    <i>
      <x v="2"/>
    </i>
    <i>
      <x v="3"/>
    </i>
    <i t="grand">
      <x/>
    </i>
  </colItems>
  <pageFields count="1">
    <pageField fld="2" hier="-1"/>
  </pageField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65051C-C7A1-4628-A31C-4095FBCABB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1" firstDataRow="2" firstDataCol="1" rowPageCount="1" colPageCount="1"/>
  <pivotFields count="5">
    <pivotField showAll="0"/>
    <pivotField axis="axisRow" showAll="0">
      <items count="6">
        <item x="3"/>
        <item x="0"/>
        <item x="4"/>
        <item x="2"/>
        <item x="1"/>
        <item t="default"/>
      </items>
    </pivotField>
    <pivotField axis="axisPage" showAll="0">
      <items count="4">
        <item x="0"/>
        <item x="1"/>
        <item x="2"/>
        <item t="default"/>
      </items>
    </pivotField>
    <pivotField axis="axisCol" showAll="0">
      <items count="5">
        <item h="1" x="0"/>
        <item h="1" x="1"/>
        <item x="2"/>
        <item h="1" x="3"/>
        <item t="default"/>
      </items>
    </pivotField>
    <pivotField dataField="1" showAll="0"/>
  </pivotFields>
  <rowFields count="1">
    <field x="1"/>
  </rowFields>
  <rowItems count="4">
    <i>
      <x/>
    </i>
    <i>
      <x v="3"/>
    </i>
    <i>
      <x v="4"/>
    </i>
    <i t="grand">
      <x/>
    </i>
  </rowItems>
  <colFields count="1">
    <field x="3"/>
  </colFields>
  <colItems count="2">
    <i>
      <x v="2"/>
    </i>
    <i t="grand">
      <x/>
    </i>
  </colItems>
  <pageFields count="1">
    <pageField fld="2" hier="-1"/>
  </pageFields>
  <dataFields count="1">
    <dataField name="Sum of QUANTITY" fld="4" baseField="0" baseItem="0"/>
  </dataFields>
  <chartFormats count="6">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2">
          <reference field="4294967294" count="1" selected="0">
            <x v="0"/>
          </reference>
          <reference field="3" count="1" selected="0">
            <x v="3"/>
          </reference>
        </references>
      </pivotArea>
    </chartFormat>
    <chartFormat chart="0" format="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IES" xr10:uid="{8965DEA8-A05B-4F07-A85F-768379F6C773}" sourceName="CITIES">
  <pivotTables>
    <pivotTable tabId="9" name="PivotTable1"/>
  </pivotTables>
  <data>
    <tabular pivotCacheId="373955208">
      <items count="5">
        <i x="3" s="1"/>
        <i x="2"/>
        <i x="1"/>
        <i x="0"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30B70FB-2303-4EDA-9A2D-7F6F370ADD29}" sourceName="SIZE">
  <pivotTables>
    <pivotTable tabId="9" name="PivotTable1"/>
  </pivotTables>
  <data>
    <tabular pivotCacheId="373955208">
      <items count="4">
        <i x="0"/>
        <i x="2" s="1"/>
        <i x="3" s="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0EE2D54C-5642-4624-B9CD-37868DFD4C16}" sourceName="SIZE">
  <pivotTables>
    <pivotTable tabId="11" name="PivotTable2"/>
  </pivotTables>
  <data>
    <tabular pivotCacheId="1516558406">
      <items count="4">
        <i x="0"/>
        <i x="1"/>
        <i x="2"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IES" xr10:uid="{F2D55616-24FB-46F5-8AB1-E76023F6AF37}" cache="Slicer_CITIES" caption="CITIES" rowHeight="257175"/>
  <slicer name="SIZE" xr10:uid="{7C83F6D3-941E-4B68-9045-107DFEF6D768}" cache="Slicer_SIZE" caption="SIZ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FFCE1409-4452-48BA-90FA-DA27AFC86CB4}" cache="Slicer_SIZE1" caption="SIZ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31F0B-CE90-4062-9AD2-50CE6600FEDD}">
  <dimension ref="A1:J26"/>
  <sheetViews>
    <sheetView zoomScale="130" zoomScaleNormal="130" workbookViewId="0">
      <selection activeCell="H18" sqref="H18"/>
    </sheetView>
  </sheetViews>
  <sheetFormatPr defaultRowHeight="15" x14ac:dyDescent="0.25"/>
  <cols>
    <col min="2" max="2" width="11.28515625" bestFit="1" customWidth="1"/>
    <col min="3" max="3" width="10" customWidth="1"/>
    <col min="4" max="4" width="12.28515625" customWidth="1"/>
    <col min="5" max="5" width="15.5703125" customWidth="1"/>
    <col min="6" max="6" width="16.5703125" bestFit="1" customWidth="1"/>
    <col min="7" max="7" width="16.28515625" customWidth="1"/>
  </cols>
  <sheetData>
    <row r="1" spans="1:10" x14ac:dyDescent="0.25">
      <c r="A1" s="49" t="s">
        <v>0</v>
      </c>
      <c r="B1" s="49"/>
      <c r="C1" s="49"/>
      <c r="D1" s="49"/>
      <c r="E1" s="49"/>
      <c r="F1" s="49"/>
      <c r="G1" s="49"/>
      <c r="H1" s="49"/>
      <c r="I1" s="49"/>
    </row>
    <row r="2" spans="1:10" x14ac:dyDescent="0.25">
      <c r="A2" s="50"/>
      <c r="B2" s="49"/>
      <c r="C2" s="49"/>
      <c r="D2" s="49"/>
      <c r="E2" s="49"/>
      <c r="F2" s="49"/>
      <c r="G2" s="49"/>
      <c r="H2" s="50"/>
      <c r="I2" s="50"/>
    </row>
    <row r="3" spans="1:10" x14ac:dyDescent="0.25">
      <c r="A3" s="1"/>
      <c r="B3" s="3" t="s">
        <v>1</v>
      </c>
      <c r="C3" s="3" t="s">
        <v>2</v>
      </c>
      <c r="D3" s="3" t="s">
        <v>3</v>
      </c>
      <c r="E3" s="3" t="s">
        <v>4</v>
      </c>
      <c r="F3" s="3" t="s">
        <v>5</v>
      </c>
      <c r="G3" s="3" t="s">
        <v>6</v>
      </c>
      <c r="H3" s="1"/>
      <c r="I3" s="1"/>
    </row>
    <row r="4" spans="1:10" x14ac:dyDescent="0.25">
      <c r="A4" s="1"/>
      <c r="B4" s="4">
        <v>1</v>
      </c>
      <c r="C4" s="4" t="s">
        <v>7</v>
      </c>
      <c r="D4" s="4" t="s">
        <v>8</v>
      </c>
      <c r="E4" s="4">
        <v>100</v>
      </c>
      <c r="F4" s="4">
        <v>88</v>
      </c>
      <c r="G4" s="4" t="s">
        <v>9</v>
      </c>
      <c r="H4" s="1"/>
      <c r="I4" s="1"/>
    </row>
    <row r="5" spans="1:10" x14ac:dyDescent="0.25">
      <c r="A5" s="1"/>
      <c r="B5" s="4">
        <v>2</v>
      </c>
      <c r="C5" s="4" t="s">
        <v>10</v>
      </c>
      <c r="D5" s="4" t="s">
        <v>11</v>
      </c>
      <c r="E5" s="4">
        <v>100</v>
      </c>
      <c r="F5" s="4">
        <v>89</v>
      </c>
      <c r="G5" s="4" t="s">
        <v>107</v>
      </c>
      <c r="H5" s="1"/>
      <c r="I5" s="51"/>
      <c r="J5" s="51"/>
    </row>
    <row r="6" spans="1:10" x14ac:dyDescent="0.25">
      <c r="A6" s="1"/>
      <c r="B6" s="4">
        <v>3</v>
      </c>
      <c r="C6" s="4" t="s">
        <v>12</v>
      </c>
      <c r="D6" s="4" t="s">
        <v>13</v>
      </c>
      <c r="E6" s="4">
        <v>100</v>
      </c>
      <c r="F6" s="4">
        <v>90</v>
      </c>
      <c r="G6" s="4" t="s">
        <v>14</v>
      </c>
      <c r="H6" s="1"/>
      <c r="I6" s="51"/>
      <c r="J6" s="51"/>
    </row>
    <row r="7" spans="1:10" x14ac:dyDescent="0.25">
      <c r="A7" s="1"/>
      <c r="B7" s="4">
        <v>4</v>
      </c>
      <c r="C7" s="4" t="s">
        <v>15</v>
      </c>
      <c r="D7" s="4" t="s">
        <v>16</v>
      </c>
      <c r="E7" s="4">
        <v>100</v>
      </c>
      <c r="F7" s="4">
        <v>91</v>
      </c>
      <c r="G7" s="4" t="s">
        <v>9</v>
      </c>
      <c r="H7" s="1"/>
      <c r="I7" s="51"/>
      <c r="J7" s="51"/>
    </row>
    <row r="8" spans="1:10" x14ac:dyDescent="0.25">
      <c r="A8" s="1"/>
      <c r="B8" s="4">
        <v>5</v>
      </c>
      <c r="C8" s="4" t="s">
        <v>17</v>
      </c>
      <c r="D8" s="4" t="s">
        <v>18</v>
      </c>
      <c r="E8" s="4">
        <v>100</v>
      </c>
      <c r="F8" s="4">
        <v>92</v>
      </c>
      <c r="G8" s="4" t="s">
        <v>107</v>
      </c>
      <c r="H8" s="1"/>
      <c r="I8" s="51"/>
      <c r="J8" s="51"/>
    </row>
    <row r="9" spans="1:10" x14ac:dyDescent="0.25">
      <c r="A9" s="1"/>
      <c r="B9" s="1"/>
      <c r="C9" s="1"/>
      <c r="D9" s="1"/>
      <c r="E9" s="1"/>
      <c r="F9" s="1"/>
      <c r="G9" s="1" t="s">
        <v>14</v>
      </c>
      <c r="H9" s="1"/>
      <c r="I9" s="51"/>
      <c r="J9" s="51"/>
    </row>
    <row r="10" spans="1:10" x14ac:dyDescent="0.25">
      <c r="B10" s="1"/>
      <c r="C10" s="1"/>
      <c r="D10" s="1"/>
      <c r="E10" s="1"/>
      <c r="F10" s="1"/>
      <c r="G10" s="1"/>
    </row>
    <row r="13" spans="1:10" x14ac:dyDescent="0.25">
      <c r="B13" t="s">
        <v>26</v>
      </c>
      <c r="C13" t="s">
        <v>24</v>
      </c>
      <c r="H13" s="2"/>
    </row>
    <row r="14" spans="1:10" x14ac:dyDescent="0.25">
      <c r="B14" t="s">
        <v>80</v>
      </c>
      <c r="C14">
        <v>45</v>
      </c>
      <c r="E14" s="26" t="s">
        <v>31</v>
      </c>
      <c r="F14" s="26" t="str">
        <f>IF(C24&gt;1,"value is greater")</f>
        <v>value is greater</v>
      </c>
    </row>
    <row r="15" spans="1:10" x14ac:dyDescent="0.25">
      <c r="B15" t="s">
        <v>19</v>
      </c>
      <c r="E15" s="26"/>
      <c r="F15" s="26"/>
    </row>
    <row r="16" spans="1:10" x14ac:dyDescent="0.25">
      <c r="B16" t="s">
        <v>20</v>
      </c>
      <c r="C16">
        <v>78</v>
      </c>
      <c r="E16" s="26" t="s">
        <v>32</v>
      </c>
      <c r="F16" s="26" t="str">
        <f>IF(C24&gt;5,"Value is greater",IF(C24&lt;5,"Value is less than",IF(C24=5,"Value is equal ")))</f>
        <v>Value is less than</v>
      </c>
    </row>
    <row r="17" spans="2:3" x14ac:dyDescent="0.25">
      <c r="B17" t="s">
        <v>21</v>
      </c>
      <c r="C17" s="19" t="s">
        <v>79</v>
      </c>
    </row>
    <row r="18" spans="2:3" x14ac:dyDescent="0.25">
      <c r="B18" t="s">
        <v>22</v>
      </c>
      <c r="C18">
        <v>22</v>
      </c>
    </row>
    <row r="19" spans="2:3" x14ac:dyDescent="0.25">
      <c r="B19" t="s">
        <v>23</v>
      </c>
      <c r="C19">
        <v>44</v>
      </c>
    </row>
    <row r="20" spans="2:3" x14ac:dyDescent="0.25">
      <c r="B20" s="5" t="s">
        <v>25</v>
      </c>
      <c r="C20" s="5">
        <f>SUM(C14:C19)</f>
        <v>189</v>
      </c>
    </row>
    <row r="21" spans="2:3" x14ac:dyDescent="0.25">
      <c r="B21" s="6" t="s">
        <v>27</v>
      </c>
      <c r="C21" s="6">
        <f>AVERAGE(C14:C19)</f>
        <v>47.25</v>
      </c>
    </row>
    <row r="22" spans="2:3" x14ac:dyDescent="0.25">
      <c r="B22" s="7" t="s">
        <v>28</v>
      </c>
      <c r="C22" s="7">
        <f>MIN(C14:C19)</f>
        <v>22</v>
      </c>
    </row>
    <row r="23" spans="2:3" x14ac:dyDescent="0.25">
      <c r="B23" s="8" t="s">
        <v>29</v>
      </c>
      <c r="C23" s="8">
        <f>MAX(C14:C19)</f>
        <v>78</v>
      </c>
    </row>
    <row r="24" spans="2:3" x14ac:dyDescent="0.25">
      <c r="B24" s="9" t="s">
        <v>30</v>
      </c>
      <c r="C24" s="9">
        <f>COUNT(C14:C19)</f>
        <v>4</v>
      </c>
    </row>
    <row r="25" spans="2:3" x14ac:dyDescent="0.25">
      <c r="B25" t="s">
        <v>78</v>
      </c>
      <c r="C25">
        <f>COUNTA((C14:C19))</f>
        <v>5</v>
      </c>
    </row>
    <row r="26" spans="2:3" x14ac:dyDescent="0.25">
      <c r="B26" t="s">
        <v>81</v>
      </c>
      <c r="C26">
        <f>COUNTBLANK(C14:C19)</f>
        <v>1</v>
      </c>
    </row>
  </sheetData>
  <mergeCells count="2">
    <mergeCell ref="A1:I2"/>
    <mergeCell ref="I5:J9"/>
  </mergeCells>
  <phoneticPr fontId="6" type="noConversion"/>
  <conditionalFormatting sqref="E30">
    <cfRule type="cellIs" dxfId="6" priority="1" operator="greaterThan">
      <formula>80</formula>
    </cfRule>
  </conditionalFormatting>
  <dataValidations count="1">
    <dataValidation type="list" allowBlank="1" showInputMessage="1" showErrorMessage="1" sqref="G9" xr:uid="{FF2E28C6-4587-41B3-985D-63FCCA708D8C}">
      <formula1>$G$4:$G$8</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FF3B2-C3F0-4AEC-86E7-A89769FCB57E}">
  <dimension ref="A1:E8"/>
  <sheetViews>
    <sheetView zoomScale="140" zoomScaleNormal="140" workbookViewId="0">
      <selection activeCell="C17" sqref="C17"/>
    </sheetView>
  </sheetViews>
  <sheetFormatPr defaultRowHeight="15" x14ac:dyDescent="0.25"/>
  <cols>
    <col min="2" max="4" width="9.42578125" bestFit="1" customWidth="1"/>
    <col min="5" max="5" width="10.5703125" bestFit="1" customWidth="1"/>
  </cols>
  <sheetData>
    <row r="1" spans="1:5" ht="24" x14ac:dyDescent="0.4">
      <c r="A1" s="52" t="s">
        <v>60</v>
      </c>
      <c r="B1" s="52"/>
      <c r="C1" s="52"/>
      <c r="D1" s="52"/>
      <c r="E1" s="52"/>
    </row>
    <row r="2" spans="1:5" x14ac:dyDescent="0.25">
      <c r="A2" s="12" t="s">
        <v>50</v>
      </c>
      <c r="B2" s="12" t="s">
        <v>51</v>
      </c>
      <c r="C2" s="12" t="s">
        <v>52</v>
      </c>
      <c r="D2" s="12" t="s">
        <v>53</v>
      </c>
      <c r="E2" s="12" t="s">
        <v>54</v>
      </c>
    </row>
    <row r="3" spans="1:5" x14ac:dyDescent="0.25">
      <c r="A3" s="4" t="s">
        <v>55</v>
      </c>
      <c r="B3" s="4">
        <v>50000</v>
      </c>
      <c r="C3" s="4">
        <v>45000</v>
      </c>
      <c r="D3" s="4">
        <v>30000</v>
      </c>
      <c r="E3" s="4">
        <f>SUM(B3:D3)</f>
        <v>125000</v>
      </c>
    </row>
    <row r="4" spans="1:5" x14ac:dyDescent="0.25">
      <c r="A4" s="4" t="s">
        <v>56</v>
      </c>
      <c r="B4" s="4">
        <v>60000</v>
      </c>
      <c r="C4" s="4">
        <v>40000</v>
      </c>
      <c r="D4" s="4">
        <v>35000</v>
      </c>
      <c r="E4" s="4">
        <f t="shared" ref="E4:E7" si="0">SUM(B4:D4)</f>
        <v>135000</v>
      </c>
    </row>
    <row r="5" spans="1:5" x14ac:dyDescent="0.25">
      <c r="A5" s="4" t="s">
        <v>57</v>
      </c>
      <c r="B5" s="4">
        <v>55000</v>
      </c>
      <c r="C5" s="4">
        <v>48000</v>
      </c>
      <c r="D5" s="4">
        <v>38000</v>
      </c>
      <c r="E5" s="4">
        <f t="shared" si="0"/>
        <v>141000</v>
      </c>
    </row>
    <row r="6" spans="1:5" x14ac:dyDescent="0.25">
      <c r="A6" s="4" t="s">
        <v>58</v>
      </c>
      <c r="B6" s="4">
        <v>70000</v>
      </c>
      <c r="C6" s="4">
        <v>52000</v>
      </c>
      <c r="D6" s="4">
        <v>40000</v>
      </c>
      <c r="E6" s="4">
        <f t="shared" si="0"/>
        <v>162000</v>
      </c>
    </row>
    <row r="7" spans="1:5" x14ac:dyDescent="0.25">
      <c r="A7" s="4" t="s">
        <v>59</v>
      </c>
      <c r="B7" s="4">
        <v>65000</v>
      </c>
      <c r="C7" s="4">
        <v>50000</v>
      </c>
      <c r="D7" s="4">
        <v>42000</v>
      </c>
      <c r="E7" s="4">
        <f t="shared" si="0"/>
        <v>157000</v>
      </c>
    </row>
    <row r="8" spans="1:5" x14ac:dyDescent="0.25">
      <c r="A8" s="10"/>
      <c r="B8" s="10"/>
      <c r="C8" s="10"/>
      <c r="D8" s="10"/>
      <c r="E8" s="10"/>
    </row>
  </sheetData>
  <mergeCells count="1">
    <mergeCell ref="A1:E1"/>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964E-8A8E-4981-B533-422FEA356C4B}">
  <dimension ref="A1:L19"/>
  <sheetViews>
    <sheetView workbookViewId="0">
      <selection activeCell="N26" sqref="N26"/>
    </sheetView>
  </sheetViews>
  <sheetFormatPr defaultRowHeight="15" x14ac:dyDescent="0.25"/>
  <cols>
    <col min="2" max="2" width="8.85546875" bestFit="1" customWidth="1"/>
    <col min="4" max="4" width="7.5703125" bestFit="1" customWidth="1"/>
    <col min="5" max="5" width="9" bestFit="1" customWidth="1"/>
    <col min="6" max="6" width="9.5703125" bestFit="1" customWidth="1"/>
    <col min="7" max="7" width="9.28515625" bestFit="1" customWidth="1"/>
    <col min="8" max="8" width="9.85546875" bestFit="1" customWidth="1"/>
    <col min="9" max="9" width="6.85546875" bestFit="1" customWidth="1"/>
    <col min="10" max="10" width="18" bestFit="1" customWidth="1"/>
    <col min="11" max="11" width="13.5703125" bestFit="1" customWidth="1"/>
    <col min="12" max="12" width="7.5703125" bestFit="1" customWidth="1"/>
  </cols>
  <sheetData>
    <row r="1" spans="1:12" x14ac:dyDescent="0.25">
      <c r="A1" s="53" t="s">
        <v>0</v>
      </c>
      <c r="B1" s="53"/>
      <c r="C1" s="53"/>
      <c r="D1" s="53"/>
      <c r="E1" s="53"/>
      <c r="F1" s="53"/>
      <c r="G1" s="53"/>
      <c r="H1" s="53"/>
      <c r="I1" s="53"/>
      <c r="J1" s="53"/>
      <c r="K1" s="53"/>
      <c r="L1" s="53"/>
    </row>
    <row r="2" spans="1:12" x14ac:dyDescent="0.25">
      <c r="A2" s="53"/>
      <c r="B2" s="53"/>
      <c r="C2" s="53"/>
      <c r="D2" s="53"/>
      <c r="E2" s="53"/>
      <c r="F2" s="53"/>
      <c r="G2" s="53"/>
      <c r="H2" s="53"/>
      <c r="I2" s="53"/>
      <c r="J2" s="53"/>
      <c r="K2" s="53"/>
      <c r="L2" s="53"/>
    </row>
    <row r="3" spans="1:12" ht="15.75" x14ac:dyDescent="0.25">
      <c r="A3" s="11" t="s">
        <v>33</v>
      </c>
      <c r="B3" s="11" t="s">
        <v>2</v>
      </c>
      <c r="C3" s="11" t="s">
        <v>11</v>
      </c>
      <c r="D3" s="11" t="s">
        <v>8</v>
      </c>
      <c r="E3" s="11" t="s">
        <v>34</v>
      </c>
      <c r="F3" s="11" t="s">
        <v>35</v>
      </c>
      <c r="G3" s="11" t="s">
        <v>13</v>
      </c>
      <c r="H3" s="11" t="s">
        <v>36</v>
      </c>
      <c r="I3" s="11" t="s">
        <v>37</v>
      </c>
      <c r="J3" s="11" t="s">
        <v>5</v>
      </c>
      <c r="K3" s="11" t="s">
        <v>38</v>
      </c>
      <c r="L3" s="11" t="s">
        <v>39</v>
      </c>
    </row>
    <row r="4" spans="1:12" x14ac:dyDescent="0.25">
      <c r="A4" s="10">
        <v>1</v>
      </c>
      <c r="B4" s="10" t="s">
        <v>40</v>
      </c>
      <c r="C4" s="10">
        <v>65</v>
      </c>
      <c r="D4" s="10">
        <v>45</v>
      </c>
      <c r="E4" s="10">
        <v>56</v>
      </c>
      <c r="F4" s="10">
        <v>55</v>
      </c>
      <c r="G4" s="10">
        <v>92</v>
      </c>
      <c r="H4" s="10">
        <f>AVERAGE(C4:G4)</f>
        <v>62.6</v>
      </c>
      <c r="I4" s="10">
        <v>500</v>
      </c>
      <c r="J4" s="10">
        <f>SUM(C4:G4)</f>
        <v>313</v>
      </c>
      <c r="K4" s="10">
        <f>J4*100/I4</f>
        <v>62.6</v>
      </c>
      <c r="L4" s="10" t="str">
        <f>IF(K4&gt;80,"A+",IF(K4&gt;70,"A",IF(K4&gt;60,"B",IF(K4&gt;50,"C",IF(K4&gt;40,"D","Fail")))))</f>
        <v>B</v>
      </c>
    </row>
    <row r="5" spans="1:12" x14ac:dyDescent="0.25">
      <c r="A5" s="10">
        <v>2</v>
      </c>
      <c r="B5" s="10" t="s">
        <v>41</v>
      </c>
      <c r="C5" s="10">
        <v>76</v>
      </c>
      <c r="D5" s="10">
        <v>98</v>
      </c>
      <c r="E5" s="10">
        <v>59</v>
      </c>
      <c r="F5" s="10">
        <v>39</v>
      </c>
      <c r="G5" s="10">
        <v>75</v>
      </c>
      <c r="H5" s="10">
        <f t="shared" ref="H5:H13" si="0">AVERAGE(C5:G5)</f>
        <v>69.400000000000006</v>
      </c>
      <c r="I5" s="10">
        <v>500</v>
      </c>
      <c r="J5" s="10">
        <f t="shared" ref="J5:J13" si="1">SUM(C5:G5)</f>
        <v>347</v>
      </c>
      <c r="K5" s="10">
        <f t="shared" ref="K5:K13" si="2">J5*100/I5</f>
        <v>69.400000000000006</v>
      </c>
      <c r="L5" s="10" t="str">
        <f t="shared" ref="L5:L13" si="3">IF(K5&gt;80,"A+",IF(K5&gt;70,"A",IF(K5&gt;60,"B",IF(K5&gt;50,"C",IF(K5&gt;40,"D","Fail")))))</f>
        <v>B</v>
      </c>
    </row>
    <row r="6" spans="1:12" x14ac:dyDescent="0.25">
      <c r="A6" s="10">
        <v>3</v>
      </c>
      <c r="B6" s="10" t="s">
        <v>42</v>
      </c>
      <c r="C6" s="10">
        <v>89</v>
      </c>
      <c r="D6" s="10">
        <v>45</v>
      </c>
      <c r="E6" s="10">
        <v>62</v>
      </c>
      <c r="F6" s="10">
        <v>44</v>
      </c>
      <c r="G6" s="10">
        <v>56</v>
      </c>
      <c r="H6" s="10">
        <f t="shared" si="0"/>
        <v>59.2</v>
      </c>
      <c r="I6" s="10">
        <v>500</v>
      </c>
      <c r="J6" s="10">
        <f t="shared" si="1"/>
        <v>296</v>
      </c>
      <c r="K6" s="10">
        <f t="shared" si="2"/>
        <v>59.2</v>
      </c>
      <c r="L6" s="10" t="str">
        <f t="shared" si="3"/>
        <v>C</v>
      </c>
    </row>
    <row r="7" spans="1:12" x14ac:dyDescent="0.25">
      <c r="A7" s="10">
        <v>4</v>
      </c>
      <c r="B7" s="10" t="s">
        <v>43</v>
      </c>
      <c r="C7" s="10">
        <v>45</v>
      </c>
      <c r="D7" s="10">
        <v>76</v>
      </c>
      <c r="E7" s="10">
        <v>65</v>
      </c>
      <c r="F7" s="10">
        <v>49</v>
      </c>
      <c r="G7" s="10">
        <v>75</v>
      </c>
      <c r="H7" s="10">
        <f t="shared" si="0"/>
        <v>62</v>
      </c>
      <c r="I7" s="10">
        <v>500</v>
      </c>
      <c r="J7" s="10">
        <f t="shared" si="1"/>
        <v>310</v>
      </c>
      <c r="K7" s="10">
        <f t="shared" si="2"/>
        <v>62</v>
      </c>
      <c r="L7" s="10" t="str">
        <f t="shared" si="3"/>
        <v>B</v>
      </c>
    </row>
    <row r="8" spans="1:12" x14ac:dyDescent="0.25">
      <c r="A8" s="10">
        <v>5</v>
      </c>
      <c r="B8" s="10" t="s">
        <v>44</v>
      </c>
      <c r="C8" s="10">
        <v>76</v>
      </c>
      <c r="D8" s="10">
        <v>34</v>
      </c>
      <c r="E8" s="10">
        <v>68</v>
      </c>
      <c r="F8" s="10">
        <v>54</v>
      </c>
      <c r="G8" s="10">
        <v>56</v>
      </c>
      <c r="H8" s="10">
        <f t="shared" si="0"/>
        <v>57.6</v>
      </c>
      <c r="I8" s="10">
        <v>500</v>
      </c>
      <c r="J8" s="10">
        <f t="shared" si="1"/>
        <v>288</v>
      </c>
      <c r="K8" s="10">
        <f t="shared" si="2"/>
        <v>57.6</v>
      </c>
      <c r="L8" s="10" t="str">
        <f t="shared" si="3"/>
        <v>C</v>
      </c>
    </row>
    <row r="9" spans="1:12" x14ac:dyDescent="0.25">
      <c r="A9" s="10">
        <v>6</v>
      </c>
      <c r="B9" s="10" t="s">
        <v>45</v>
      </c>
      <c r="C9" s="10">
        <v>89</v>
      </c>
      <c r="D9" s="10">
        <v>87</v>
      </c>
      <c r="E9" s="10">
        <v>71</v>
      </c>
      <c r="F9" s="10">
        <v>59</v>
      </c>
      <c r="G9" s="10">
        <v>90</v>
      </c>
      <c r="H9" s="10">
        <f t="shared" si="0"/>
        <v>79.2</v>
      </c>
      <c r="I9" s="10">
        <v>500</v>
      </c>
      <c r="J9" s="10">
        <f t="shared" si="1"/>
        <v>396</v>
      </c>
      <c r="K9" s="10">
        <f t="shared" si="2"/>
        <v>79.2</v>
      </c>
      <c r="L9" s="10" t="str">
        <f t="shared" si="3"/>
        <v>A</v>
      </c>
    </row>
    <row r="10" spans="1:12" x14ac:dyDescent="0.25">
      <c r="A10" s="10">
        <v>7</v>
      </c>
      <c r="B10" s="10" t="s">
        <v>46</v>
      </c>
      <c r="C10" s="10">
        <v>9</v>
      </c>
      <c r="D10" s="10">
        <v>45</v>
      </c>
      <c r="E10" s="10">
        <v>74</v>
      </c>
      <c r="F10" s="10">
        <v>64</v>
      </c>
      <c r="G10" s="10">
        <v>87</v>
      </c>
      <c r="H10" s="10">
        <f t="shared" si="0"/>
        <v>55.8</v>
      </c>
      <c r="I10" s="10">
        <v>500</v>
      </c>
      <c r="J10" s="10">
        <f t="shared" si="1"/>
        <v>279</v>
      </c>
      <c r="K10" s="10">
        <f t="shared" si="2"/>
        <v>55.8</v>
      </c>
      <c r="L10" s="10" t="str">
        <f t="shared" si="3"/>
        <v>C</v>
      </c>
    </row>
    <row r="11" spans="1:12" x14ac:dyDescent="0.25">
      <c r="A11" s="10">
        <v>8</v>
      </c>
      <c r="B11" s="10" t="s">
        <v>47</v>
      </c>
      <c r="C11" s="10">
        <v>26</v>
      </c>
      <c r="D11" s="10">
        <v>23</v>
      </c>
      <c r="E11" s="10">
        <v>0</v>
      </c>
      <c r="F11" s="10">
        <v>0</v>
      </c>
      <c r="G11" s="10">
        <v>45</v>
      </c>
      <c r="H11" s="10">
        <f t="shared" si="0"/>
        <v>18.8</v>
      </c>
      <c r="I11" s="10">
        <v>500</v>
      </c>
      <c r="J11" s="10">
        <f t="shared" si="1"/>
        <v>94</v>
      </c>
      <c r="K11" s="10">
        <f t="shared" si="2"/>
        <v>18.8</v>
      </c>
      <c r="L11" s="10" t="str">
        <f t="shared" si="3"/>
        <v>Fail</v>
      </c>
    </row>
    <row r="12" spans="1:12" x14ac:dyDescent="0.25">
      <c r="A12" s="10">
        <v>9</v>
      </c>
      <c r="B12" s="10" t="s">
        <v>48</v>
      </c>
      <c r="C12" s="10">
        <v>56</v>
      </c>
      <c r="D12" s="10">
        <v>98</v>
      </c>
      <c r="E12" s="10">
        <v>80</v>
      </c>
      <c r="F12" s="10">
        <v>74</v>
      </c>
      <c r="G12" s="10">
        <v>77</v>
      </c>
      <c r="H12" s="10">
        <f t="shared" si="0"/>
        <v>77</v>
      </c>
      <c r="I12" s="10">
        <v>500</v>
      </c>
      <c r="J12" s="10">
        <f t="shared" si="1"/>
        <v>385</v>
      </c>
      <c r="K12" s="10">
        <f t="shared" si="2"/>
        <v>77</v>
      </c>
      <c r="L12" s="10" t="str">
        <f t="shared" si="3"/>
        <v>A</v>
      </c>
    </row>
    <row r="13" spans="1:12" x14ac:dyDescent="0.25">
      <c r="A13" s="10">
        <v>10</v>
      </c>
      <c r="B13" s="10" t="s">
        <v>49</v>
      </c>
      <c r="C13" s="10">
        <v>10</v>
      </c>
      <c r="D13" s="10">
        <v>10</v>
      </c>
      <c r="E13" s="10">
        <v>83</v>
      </c>
      <c r="F13" s="10">
        <v>79</v>
      </c>
      <c r="G13" s="10">
        <v>10</v>
      </c>
      <c r="H13" s="10">
        <f t="shared" si="0"/>
        <v>38.4</v>
      </c>
      <c r="I13" s="10">
        <v>500</v>
      </c>
      <c r="J13" s="10">
        <f t="shared" si="1"/>
        <v>192</v>
      </c>
      <c r="K13" s="10">
        <f t="shared" si="2"/>
        <v>38.4</v>
      </c>
      <c r="L13" s="10" t="str">
        <f t="shared" si="3"/>
        <v>Fail</v>
      </c>
    </row>
    <row r="14" spans="1:12" x14ac:dyDescent="0.25">
      <c r="K14" s="13" t="s">
        <v>62</v>
      </c>
      <c r="L14" s="14">
        <f>COUNTIF(L4:L13,"A")</f>
        <v>2</v>
      </c>
    </row>
    <row r="17" spans="1:12" ht="15.75" x14ac:dyDescent="0.25">
      <c r="A17" s="11" t="s">
        <v>33</v>
      </c>
      <c r="B17" s="11" t="s">
        <v>2</v>
      </c>
      <c r="C17" s="11" t="s">
        <v>11</v>
      </c>
      <c r="D17" s="11" t="s">
        <v>8</v>
      </c>
      <c r="E17" s="11" t="s">
        <v>34</v>
      </c>
      <c r="F17" s="11" t="s">
        <v>35</v>
      </c>
      <c r="G17" s="11" t="s">
        <v>13</v>
      </c>
      <c r="H17" s="11" t="s">
        <v>36</v>
      </c>
      <c r="I17" s="11" t="s">
        <v>37</v>
      </c>
      <c r="J17" s="11" t="s">
        <v>5</v>
      </c>
      <c r="K17" s="11" t="s">
        <v>38</v>
      </c>
      <c r="L17" s="11" t="s">
        <v>39</v>
      </c>
    </row>
    <row r="18" spans="1:12" x14ac:dyDescent="0.25">
      <c r="A18">
        <v>1</v>
      </c>
      <c r="B18" t="str">
        <f>VLOOKUP(A18,A1:L13,2)</f>
        <v>Abu bakr</v>
      </c>
      <c r="C18">
        <f>VLOOKUP(A18,A4:L13,3)</f>
        <v>65</v>
      </c>
      <c r="D18">
        <f>VLOOKUP($A$18,$A$4:$L$13,5)</f>
        <v>56</v>
      </c>
      <c r="E18">
        <f>VLOOKUP($A$18,$A$4:$L$13,6)</f>
        <v>55</v>
      </c>
      <c r="F18">
        <f>VLOOKUP($A$18,$A$4:$L$13,6)</f>
        <v>55</v>
      </c>
      <c r="G18">
        <f>VLOOKUP($A$18,$A$4:$L$13,7)</f>
        <v>92</v>
      </c>
      <c r="H18">
        <f>VLOOKUP($A$18,$A$4:$L$13,8)</f>
        <v>62.6</v>
      </c>
      <c r="I18">
        <f>VLOOKUP($A$18,$A$4:$L$13,9)</f>
        <v>500</v>
      </c>
      <c r="J18">
        <f>VLOOKUP($A$18,$A$4:$L$13,10)</f>
        <v>313</v>
      </c>
      <c r="K18">
        <f>VLOOKUP($A$18,$A$4:$L$13,11)</f>
        <v>62.6</v>
      </c>
      <c r="L18" t="str">
        <f>VLOOKUP($A$18,$A$4:$L$13,12)</f>
        <v>B</v>
      </c>
    </row>
    <row r="19" spans="1:12" x14ac:dyDescent="0.25">
      <c r="D19" t="s">
        <v>61</v>
      </c>
    </row>
  </sheetData>
  <mergeCells count="1">
    <mergeCell ref="A1:L2"/>
  </mergeCells>
  <dataValidations count="1">
    <dataValidation type="list" allowBlank="1" showInputMessage="1" showErrorMessage="1" sqref="O6 L3" xr:uid="{A491B8A7-C6E7-4F18-A325-6EF6A4A09CF4}">
      <formula1>$L$4:$L$13</formula1>
    </dataValidation>
  </dataValidations>
  <pageMargins left="0.7" right="0.7" top="0.75" bottom="0.75" header="0.3" footer="0.3"/>
  <pageSetup orientation="portrait" r:id="rId1"/>
  <ignoredErrors>
    <ignoredError sqref="J4:J13"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EDC59-2627-41D2-8AD0-23AADFDE1004}">
  <dimension ref="A4:G13"/>
  <sheetViews>
    <sheetView workbookViewId="0">
      <selection activeCell="G7" sqref="G7"/>
    </sheetView>
  </sheetViews>
  <sheetFormatPr defaultRowHeight="15" x14ac:dyDescent="0.25"/>
  <sheetData>
    <row r="4" spans="1:7" x14ac:dyDescent="0.25">
      <c r="A4" s="17" t="s">
        <v>63</v>
      </c>
      <c r="B4" s="17" t="s">
        <v>64</v>
      </c>
      <c r="C4" s="17" t="s">
        <v>65</v>
      </c>
    </row>
    <row r="5" spans="1:7" x14ac:dyDescent="0.25">
      <c r="A5" s="16" t="s">
        <v>66</v>
      </c>
      <c r="B5" s="16" t="s">
        <v>67</v>
      </c>
      <c r="C5" s="16">
        <v>3000</v>
      </c>
      <c r="F5" t="s">
        <v>75</v>
      </c>
      <c r="G5" t="s">
        <v>76</v>
      </c>
    </row>
    <row r="6" spans="1:7" x14ac:dyDescent="0.25">
      <c r="A6" s="16" t="s">
        <v>68</v>
      </c>
      <c r="B6" s="16" t="s">
        <v>69</v>
      </c>
      <c r="C6" s="16">
        <v>4000</v>
      </c>
      <c r="E6" s="9" t="s">
        <v>74</v>
      </c>
      <c r="F6" s="16" t="s">
        <v>72</v>
      </c>
      <c r="G6">
        <f>SUMIF(A4:A13,F6,C4:C13)</f>
        <v>5834</v>
      </c>
    </row>
    <row r="7" spans="1:7" x14ac:dyDescent="0.25">
      <c r="A7" s="16" t="s">
        <v>70</v>
      </c>
      <c r="B7" s="16" t="s">
        <v>71</v>
      </c>
      <c r="C7" s="16">
        <v>400</v>
      </c>
      <c r="E7" s="18" t="s">
        <v>77</v>
      </c>
      <c r="F7" s="16" t="s">
        <v>66</v>
      </c>
      <c r="G7">
        <f>AVERAGEIF(A4:A13,F7,C4:C13)</f>
        <v>4222</v>
      </c>
    </row>
    <row r="8" spans="1:7" x14ac:dyDescent="0.25">
      <c r="A8" s="16" t="s">
        <v>72</v>
      </c>
      <c r="B8" s="16" t="s">
        <v>73</v>
      </c>
      <c r="C8" s="16">
        <v>3489</v>
      </c>
    </row>
    <row r="9" spans="1:7" x14ac:dyDescent="0.25">
      <c r="A9" s="16" t="s">
        <v>66</v>
      </c>
      <c r="B9" s="16" t="s">
        <v>67</v>
      </c>
      <c r="C9" s="16">
        <v>5444</v>
      </c>
    </row>
    <row r="10" spans="1:7" x14ac:dyDescent="0.25">
      <c r="A10" s="16" t="s">
        <v>68</v>
      </c>
      <c r="B10" s="16" t="s">
        <v>69</v>
      </c>
      <c r="C10" s="16">
        <v>8900</v>
      </c>
    </row>
    <row r="11" spans="1:7" x14ac:dyDescent="0.25">
      <c r="A11" s="16" t="s">
        <v>70</v>
      </c>
      <c r="B11" s="16" t="s">
        <v>71</v>
      </c>
      <c r="C11" s="16">
        <v>3400</v>
      </c>
    </row>
    <row r="12" spans="1:7" x14ac:dyDescent="0.25">
      <c r="A12" s="16" t="s">
        <v>72</v>
      </c>
      <c r="B12" s="16" t="s">
        <v>73</v>
      </c>
      <c r="C12" s="16">
        <v>2345</v>
      </c>
    </row>
    <row r="13" spans="1:7" x14ac:dyDescent="0.25">
      <c r="A13" s="16" t="s">
        <v>68</v>
      </c>
      <c r="B13" s="16" t="s">
        <v>67</v>
      </c>
      <c r="C13" s="16">
        <v>5548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3C80-3E2F-4E48-9686-5270568F3C94}">
  <dimension ref="A1:D11"/>
  <sheetViews>
    <sheetView zoomScale="120" zoomScaleNormal="120" workbookViewId="0">
      <selection activeCell="L19" sqref="L19"/>
    </sheetView>
  </sheetViews>
  <sheetFormatPr defaultRowHeight="15" x14ac:dyDescent="0.25"/>
  <cols>
    <col min="1" max="1" width="19.28515625" customWidth="1"/>
    <col min="2" max="2" width="8.28515625" customWidth="1"/>
    <col min="3" max="3" width="14.140625" customWidth="1"/>
  </cols>
  <sheetData>
    <row r="1" spans="1:4" ht="24" x14ac:dyDescent="0.4">
      <c r="A1" s="54" t="s">
        <v>118</v>
      </c>
      <c r="B1" s="54"/>
      <c r="C1" s="54"/>
    </row>
    <row r="2" spans="1:4" x14ac:dyDescent="0.25">
      <c r="A2" s="23" t="s">
        <v>108</v>
      </c>
      <c r="B2" s="23" t="s">
        <v>109</v>
      </c>
      <c r="C2" s="23" t="s">
        <v>110</v>
      </c>
      <c r="D2" s="23" t="s">
        <v>119</v>
      </c>
    </row>
    <row r="3" spans="1:4" x14ac:dyDescent="0.25">
      <c r="A3" s="16" t="s">
        <v>111</v>
      </c>
      <c r="B3" s="16">
        <v>3</v>
      </c>
      <c r="C3" s="16">
        <v>25000</v>
      </c>
      <c r="D3">
        <f>B3*C3</f>
        <v>75000</v>
      </c>
    </row>
    <row r="4" spans="1:4" ht="30" x14ac:dyDescent="0.25">
      <c r="A4" s="16" t="s">
        <v>117</v>
      </c>
      <c r="B4" s="16">
        <v>2</v>
      </c>
      <c r="C4" s="16">
        <v>30000</v>
      </c>
      <c r="D4">
        <f t="shared" ref="D4:D8" si="0">B4*C4</f>
        <v>60000</v>
      </c>
    </row>
    <row r="5" spans="1:4" x14ac:dyDescent="0.25">
      <c r="A5" s="16" t="s">
        <v>113</v>
      </c>
      <c r="B5" s="16">
        <v>3</v>
      </c>
      <c r="C5" s="16">
        <v>15000</v>
      </c>
      <c r="D5">
        <f t="shared" si="0"/>
        <v>45000</v>
      </c>
    </row>
    <row r="6" spans="1:4" x14ac:dyDescent="0.25">
      <c r="A6" s="16" t="s">
        <v>114</v>
      </c>
      <c r="B6" s="16">
        <v>4</v>
      </c>
      <c r="C6" s="16">
        <v>10000</v>
      </c>
      <c r="D6">
        <f t="shared" si="0"/>
        <v>40000</v>
      </c>
    </row>
    <row r="7" spans="1:4" ht="30" x14ac:dyDescent="0.25">
      <c r="A7" s="16" t="s">
        <v>115</v>
      </c>
      <c r="B7" s="16">
        <v>2</v>
      </c>
      <c r="C7" s="16">
        <v>8000</v>
      </c>
      <c r="D7">
        <f t="shared" si="0"/>
        <v>16000</v>
      </c>
    </row>
    <row r="8" spans="1:4" ht="45" x14ac:dyDescent="0.25">
      <c r="A8" s="16" t="s">
        <v>116</v>
      </c>
      <c r="B8" s="16">
        <v>3</v>
      </c>
      <c r="C8" s="16">
        <v>12500</v>
      </c>
      <c r="D8">
        <f t="shared" si="0"/>
        <v>37500</v>
      </c>
    </row>
    <row r="9" spans="1:4" ht="15.75" x14ac:dyDescent="0.25">
      <c r="A9" s="24" t="s">
        <v>121</v>
      </c>
      <c r="D9" s="25">
        <f>SUM(D3:D8)</f>
        <v>273500</v>
      </c>
    </row>
    <row r="11" spans="1:4" x14ac:dyDescent="0.25">
      <c r="A11" s="16" t="s">
        <v>120</v>
      </c>
      <c r="B11" s="25">
        <f>SUMPRODUCT(B3:B8,C3:C8)</f>
        <v>273500</v>
      </c>
    </row>
  </sheetData>
  <mergeCells count="1">
    <mergeCell ref="A1:C1"/>
  </mergeCells>
  <phoneticPr fontId="6" type="noConversion"/>
  <conditionalFormatting sqref="D3:D8">
    <cfRule type="cellIs" dxfId="5" priority="1" operator="equal">
      <formula>16000</formula>
    </cfRule>
    <cfRule type="cellIs" dxfId="4" priority="2" operator="greaterThan">
      <formula>60000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B5B32-0318-4AD5-BB64-3D1D5775E1D9}">
  <sheetPr filterMode="1"/>
  <dimension ref="A1:O10"/>
  <sheetViews>
    <sheetView topLeftCell="C2" zoomScale="110" zoomScaleNormal="110" workbookViewId="0">
      <selection activeCell="B7" sqref="B7"/>
    </sheetView>
  </sheetViews>
  <sheetFormatPr defaultRowHeight="15" x14ac:dyDescent="0.25"/>
  <cols>
    <col min="1" max="2" width="18.7109375" customWidth="1"/>
    <col min="3" max="3" width="18.7109375" bestFit="1" customWidth="1"/>
    <col min="4" max="4" width="10" bestFit="1" customWidth="1"/>
    <col min="5" max="5" width="12" bestFit="1" customWidth="1"/>
    <col min="6" max="6" width="9.7109375" customWidth="1"/>
    <col min="7" max="7" width="18.28515625" bestFit="1" customWidth="1"/>
    <col min="8" max="8" width="16.7109375" bestFit="1" customWidth="1"/>
    <col min="9" max="9" width="14" bestFit="1" customWidth="1"/>
    <col min="10" max="10" width="10.42578125" bestFit="1" customWidth="1"/>
    <col min="11" max="11" width="10" bestFit="1" customWidth="1"/>
    <col min="12" max="12" width="11.7109375" bestFit="1" customWidth="1"/>
    <col min="13" max="13" width="19.42578125" bestFit="1" customWidth="1"/>
    <col min="14" max="14" width="12.85546875" bestFit="1" customWidth="1"/>
  </cols>
  <sheetData>
    <row r="1" spans="1:15" ht="27" x14ac:dyDescent="0.35">
      <c r="A1" s="21"/>
      <c r="B1" s="21"/>
      <c r="C1" s="57" t="s">
        <v>82</v>
      </c>
      <c r="D1" s="57"/>
      <c r="E1" s="57"/>
      <c r="F1" s="57"/>
      <c r="G1" s="57"/>
      <c r="H1" s="57"/>
      <c r="I1" s="57"/>
      <c r="J1" s="57"/>
      <c r="K1" s="57"/>
      <c r="L1" s="57"/>
      <c r="M1" s="57"/>
      <c r="N1" s="57"/>
      <c r="O1" s="57"/>
    </row>
    <row r="2" spans="1:15" ht="27" x14ac:dyDescent="0.35">
      <c r="A2" s="21"/>
      <c r="B2" s="21"/>
      <c r="C2" s="57"/>
      <c r="D2" s="57"/>
      <c r="E2" s="57"/>
      <c r="F2" s="57"/>
      <c r="G2" s="57"/>
      <c r="H2" s="57"/>
      <c r="I2" s="57"/>
      <c r="J2" s="57"/>
      <c r="K2" s="57"/>
      <c r="L2" s="57"/>
      <c r="M2" s="57"/>
      <c r="N2" s="57"/>
      <c r="O2" s="57"/>
    </row>
    <row r="3" spans="1:15" ht="14.25" customHeight="1" x14ac:dyDescent="0.35">
      <c r="A3" s="21"/>
      <c r="B3" s="21"/>
      <c r="C3" s="57"/>
      <c r="D3" s="57"/>
      <c r="E3" s="57"/>
      <c r="F3" s="57"/>
      <c r="G3" s="57"/>
      <c r="H3" s="57"/>
      <c r="I3" s="57"/>
      <c r="J3" s="57"/>
      <c r="K3" s="57"/>
      <c r="L3" s="57"/>
      <c r="M3" s="57"/>
      <c r="N3" s="57"/>
      <c r="O3" s="57"/>
    </row>
    <row r="4" spans="1:15" ht="15.75" x14ac:dyDescent="0.25">
      <c r="A4" s="55" t="s">
        <v>100</v>
      </c>
      <c r="B4" s="55" t="s">
        <v>95</v>
      </c>
      <c r="C4" s="58" t="s">
        <v>83</v>
      </c>
      <c r="D4" s="58" t="s">
        <v>84</v>
      </c>
      <c r="E4" s="58" t="s">
        <v>85</v>
      </c>
      <c r="F4" s="58" t="s">
        <v>86</v>
      </c>
      <c r="G4" s="59" t="s">
        <v>87</v>
      </c>
      <c r="H4" s="59"/>
      <c r="I4" s="59"/>
      <c r="J4" s="55" t="s">
        <v>88</v>
      </c>
      <c r="K4" s="55" t="s">
        <v>104</v>
      </c>
      <c r="L4" s="55" t="s">
        <v>105</v>
      </c>
      <c r="M4" s="55" t="s">
        <v>89</v>
      </c>
      <c r="N4" s="55" t="s">
        <v>106</v>
      </c>
    </row>
    <row r="5" spans="1:15" ht="15.75" x14ac:dyDescent="0.25">
      <c r="A5" s="56"/>
      <c r="B5" s="56"/>
      <c r="C5" s="58"/>
      <c r="D5" s="58"/>
      <c r="E5" s="58"/>
      <c r="F5" s="58"/>
      <c r="G5" s="20" t="s">
        <v>101</v>
      </c>
      <c r="H5" s="20" t="s">
        <v>102</v>
      </c>
      <c r="I5" s="20" t="s">
        <v>103</v>
      </c>
      <c r="J5" s="56"/>
      <c r="K5" s="56"/>
      <c r="L5" s="56"/>
      <c r="M5" s="56"/>
      <c r="N5" s="56"/>
    </row>
    <row r="6" spans="1:15" x14ac:dyDescent="0.25">
      <c r="A6">
        <v>1</v>
      </c>
      <c r="B6" t="s">
        <v>96</v>
      </c>
      <c r="C6" t="s">
        <v>90</v>
      </c>
      <c r="D6">
        <v>2500000</v>
      </c>
      <c r="E6">
        <v>30</v>
      </c>
      <c r="F6">
        <f>D6*E6/30</f>
        <v>2500000</v>
      </c>
      <c r="G6">
        <f>F6*40%</f>
        <v>1000000</v>
      </c>
      <c r="H6">
        <f>F6*20%</f>
        <v>500000</v>
      </c>
      <c r="I6">
        <f>F6*15%</f>
        <v>375000</v>
      </c>
      <c r="J6">
        <f>SUM(F6:I6)</f>
        <v>4375000</v>
      </c>
      <c r="K6">
        <f>J6*10%</f>
        <v>437500</v>
      </c>
      <c r="L6">
        <f>J6*5%</f>
        <v>218750</v>
      </c>
      <c r="M6">
        <f>SUM(K6:L6)</f>
        <v>656250</v>
      </c>
      <c r="N6" s="22">
        <f>J6-M6</f>
        <v>3718750</v>
      </c>
    </row>
    <row r="7" spans="1:15" x14ac:dyDescent="0.25">
      <c r="A7">
        <v>2</v>
      </c>
      <c r="B7" t="s">
        <v>97</v>
      </c>
      <c r="C7" t="s">
        <v>91</v>
      </c>
      <c r="D7">
        <v>250000</v>
      </c>
      <c r="E7">
        <v>28</v>
      </c>
      <c r="F7">
        <f t="shared" ref="F7:F10" si="0">D7*E7/30</f>
        <v>233333.33333333334</v>
      </c>
      <c r="G7">
        <f t="shared" ref="G7:G10" si="1">F7*40%</f>
        <v>93333.333333333343</v>
      </c>
      <c r="H7">
        <f t="shared" ref="H7:H10" si="2">F7*20%</f>
        <v>46666.666666666672</v>
      </c>
      <c r="I7">
        <f t="shared" ref="I7:I10" si="3">F7*15%</f>
        <v>35000</v>
      </c>
      <c r="J7">
        <f t="shared" ref="J7:J10" si="4">SUM(F7:I7)</f>
        <v>408333.33333333337</v>
      </c>
      <c r="K7">
        <f t="shared" ref="K7:K10" si="5">J7*10%</f>
        <v>40833.333333333343</v>
      </c>
      <c r="L7">
        <f t="shared" ref="L7:L10" si="6">J7*5%</f>
        <v>20416.666666666672</v>
      </c>
      <c r="M7">
        <f t="shared" ref="M7:M10" si="7">SUM(K7:L7)</f>
        <v>61250.000000000015</v>
      </c>
      <c r="N7" s="22">
        <f>J7-M7</f>
        <v>347083.33333333337</v>
      </c>
    </row>
    <row r="8" spans="1:15" hidden="1" x14ac:dyDescent="0.25">
      <c r="A8">
        <v>3</v>
      </c>
      <c r="B8" t="s">
        <v>45</v>
      </c>
      <c r="C8" t="s">
        <v>92</v>
      </c>
      <c r="D8">
        <v>25000</v>
      </c>
      <c r="E8">
        <v>25</v>
      </c>
      <c r="F8">
        <f t="shared" si="0"/>
        <v>20833.333333333332</v>
      </c>
      <c r="G8">
        <f t="shared" si="1"/>
        <v>8333.3333333333339</v>
      </c>
      <c r="H8">
        <f t="shared" si="2"/>
        <v>4166.666666666667</v>
      </c>
      <c r="I8">
        <f t="shared" si="3"/>
        <v>3124.9999999999995</v>
      </c>
      <c r="J8">
        <f t="shared" si="4"/>
        <v>36458.333333333328</v>
      </c>
      <c r="K8">
        <f t="shared" si="5"/>
        <v>3645.833333333333</v>
      </c>
      <c r="L8">
        <f t="shared" si="6"/>
        <v>1822.9166666666665</v>
      </c>
      <c r="M8">
        <f t="shared" si="7"/>
        <v>5468.75</v>
      </c>
      <c r="N8" s="22">
        <f>J8-M8</f>
        <v>30989.583333333328</v>
      </c>
    </row>
    <row r="9" spans="1:15" x14ac:dyDescent="0.25">
      <c r="A9">
        <v>4</v>
      </c>
      <c r="B9" t="s">
        <v>98</v>
      </c>
      <c r="C9" t="s">
        <v>93</v>
      </c>
      <c r="D9">
        <v>15000</v>
      </c>
      <c r="E9">
        <v>29</v>
      </c>
      <c r="F9">
        <f t="shared" si="0"/>
        <v>14500</v>
      </c>
      <c r="G9">
        <f t="shared" si="1"/>
        <v>5800</v>
      </c>
      <c r="H9">
        <f t="shared" si="2"/>
        <v>2900</v>
      </c>
      <c r="I9">
        <f t="shared" si="3"/>
        <v>2175</v>
      </c>
      <c r="J9">
        <f t="shared" si="4"/>
        <v>25375</v>
      </c>
      <c r="K9">
        <f t="shared" si="5"/>
        <v>2537.5</v>
      </c>
      <c r="L9">
        <f t="shared" si="6"/>
        <v>1268.75</v>
      </c>
      <c r="M9">
        <f t="shared" si="7"/>
        <v>3806.25</v>
      </c>
      <c r="N9" s="22">
        <f>J9-M9</f>
        <v>21568.75</v>
      </c>
    </row>
    <row r="10" spans="1:15" x14ac:dyDescent="0.25">
      <c r="A10">
        <v>5</v>
      </c>
      <c r="B10" t="s">
        <v>99</v>
      </c>
      <c r="C10" t="s">
        <v>94</v>
      </c>
      <c r="D10">
        <v>10000</v>
      </c>
      <c r="E10">
        <v>30</v>
      </c>
      <c r="F10">
        <f t="shared" si="0"/>
        <v>10000</v>
      </c>
      <c r="G10">
        <f t="shared" si="1"/>
        <v>4000</v>
      </c>
      <c r="H10">
        <f t="shared" si="2"/>
        <v>2000</v>
      </c>
      <c r="I10">
        <f t="shared" si="3"/>
        <v>1500</v>
      </c>
      <c r="J10">
        <f t="shared" si="4"/>
        <v>17500</v>
      </c>
      <c r="K10">
        <f t="shared" si="5"/>
        <v>1750</v>
      </c>
      <c r="L10">
        <f t="shared" si="6"/>
        <v>875</v>
      </c>
      <c r="M10">
        <f t="shared" si="7"/>
        <v>2625</v>
      </c>
      <c r="N10" s="22">
        <f>J10-M10</f>
        <v>14875</v>
      </c>
    </row>
  </sheetData>
  <autoFilter ref="M4:M10" xr:uid="{CBBB5B32-0318-4AD5-BB64-3D1D5775E1D9}">
    <filterColumn colId="0">
      <filters blank="1">
        <filter val="2625"/>
        <filter val="3806.25"/>
        <filter val="61250"/>
        <filter val="656250"/>
      </filters>
    </filterColumn>
  </autoFilter>
  <sortState xmlns:xlrd2="http://schemas.microsoft.com/office/spreadsheetml/2017/richdata2" ref="N6:N10">
    <sortCondition ref="N6:N10"/>
  </sortState>
  <mergeCells count="13">
    <mergeCell ref="B4:B5"/>
    <mergeCell ref="A4:A5"/>
    <mergeCell ref="N4:N5"/>
    <mergeCell ref="C1:O3"/>
    <mergeCell ref="C4:C5"/>
    <mergeCell ref="D4:D5"/>
    <mergeCell ref="E4:E5"/>
    <mergeCell ref="F4:F5"/>
    <mergeCell ref="G4:I4"/>
    <mergeCell ref="J4:J5"/>
    <mergeCell ref="K4:K5"/>
    <mergeCell ref="L4:L5"/>
    <mergeCell ref="M4:M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5B13F-316B-4DA8-BD04-16CE9A44AD6C}">
  <dimension ref="A1:C8"/>
  <sheetViews>
    <sheetView workbookViewId="0">
      <selection activeCell="B7" sqref="B7"/>
    </sheetView>
  </sheetViews>
  <sheetFormatPr defaultRowHeight="15" x14ac:dyDescent="0.25"/>
  <cols>
    <col min="2" max="2" width="17.42578125" bestFit="1" customWidth="1"/>
  </cols>
  <sheetData>
    <row r="1" spans="1:3" x14ac:dyDescent="0.25">
      <c r="A1" s="15" t="s">
        <v>138</v>
      </c>
      <c r="B1" s="15" t="s">
        <v>139</v>
      </c>
      <c r="C1" s="15" t="s">
        <v>24</v>
      </c>
    </row>
    <row r="2" spans="1:3" x14ac:dyDescent="0.25">
      <c r="A2" s="16">
        <v>1</v>
      </c>
      <c r="B2" s="16" t="s">
        <v>45</v>
      </c>
      <c r="C2" s="16">
        <v>85</v>
      </c>
    </row>
    <row r="3" spans="1:3" x14ac:dyDescent="0.25">
      <c r="A3" s="16">
        <v>2</v>
      </c>
      <c r="B3" s="16" t="s">
        <v>140</v>
      </c>
      <c r="C3" s="16">
        <v>90</v>
      </c>
    </row>
    <row r="4" spans="1:3" x14ac:dyDescent="0.25">
      <c r="A4" s="16">
        <v>3</v>
      </c>
      <c r="B4" s="16" t="s">
        <v>141</v>
      </c>
      <c r="C4" s="16">
        <v>78</v>
      </c>
    </row>
    <row r="7" spans="1:3" x14ac:dyDescent="0.25">
      <c r="B7">
        <f>_xlfn.XLOOKUP(2, A2:A4, C2:C4)</f>
        <v>90</v>
      </c>
    </row>
    <row r="8" spans="1:3" x14ac:dyDescent="0.25">
      <c r="B8" t="str">
        <f>_xlfn.XLOOKUP(5, A2:A4, C2:C4, "Student Not Found")</f>
        <v>Student Not Found</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91C53-0D39-4996-B5B5-384FDF8D387D}">
  <dimension ref="C2:I21"/>
  <sheetViews>
    <sheetView workbookViewId="0">
      <selection activeCell="C2" sqref="C2:G21"/>
    </sheetView>
  </sheetViews>
  <sheetFormatPr defaultRowHeight="15" x14ac:dyDescent="0.25"/>
  <cols>
    <col min="3" max="3" width="4.42578125" bestFit="1" customWidth="1"/>
    <col min="4" max="4" width="15.7109375" customWidth="1"/>
    <col min="5" max="5" width="12.5703125" customWidth="1"/>
    <col min="6" max="6" width="11.85546875" customWidth="1"/>
    <col min="7" max="7" width="11" customWidth="1"/>
  </cols>
  <sheetData>
    <row r="2" spans="3:9" x14ac:dyDescent="0.25">
      <c r="C2" s="60" t="s">
        <v>137</v>
      </c>
      <c r="D2" s="60"/>
      <c r="E2" s="60"/>
      <c r="F2" s="60"/>
      <c r="G2" s="60"/>
    </row>
    <row r="3" spans="3:9" x14ac:dyDescent="0.25">
      <c r="C3" s="60"/>
      <c r="D3" s="60"/>
      <c r="E3" s="60"/>
      <c r="F3" s="60"/>
      <c r="G3" s="60"/>
    </row>
    <row r="4" spans="3:9" ht="30" x14ac:dyDescent="0.25">
      <c r="C4" s="15" t="s">
        <v>123</v>
      </c>
      <c r="D4" s="15" t="s">
        <v>124</v>
      </c>
      <c r="E4" s="15" t="s">
        <v>125</v>
      </c>
      <c r="F4" s="15" t="s">
        <v>126</v>
      </c>
      <c r="G4" s="15" t="s">
        <v>127</v>
      </c>
    </row>
    <row r="5" spans="3:9" ht="30" x14ac:dyDescent="0.25">
      <c r="C5" s="16">
        <v>1</v>
      </c>
      <c r="D5" s="16" t="s">
        <v>128</v>
      </c>
      <c r="E5" s="16" t="s">
        <v>55</v>
      </c>
      <c r="F5" s="16" t="s">
        <v>129</v>
      </c>
      <c r="G5" s="16">
        <v>10000</v>
      </c>
    </row>
    <row r="6" spans="3:9" x14ac:dyDescent="0.25">
      <c r="C6" s="16">
        <v>2</v>
      </c>
      <c r="D6" s="16" t="s">
        <v>130</v>
      </c>
      <c r="E6" s="16" t="s">
        <v>56</v>
      </c>
      <c r="F6" s="16" t="s">
        <v>131</v>
      </c>
      <c r="G6" s="16">
        <v>11000</v>
      </c>
    </row>
    <row r="7" spans="3:9" x14ac:dyDescent="0.25">
      <c r="C7" s="16">
        <v>3</v>
      </c>
      <c r="D7" s="16" t="s">
        <v>132</v>
      </c>
      <c r="E7" s="16" t="s">
        <v>57</v>
      </c>
      <c r="F7" s="16" t="s">
        <v>133</v>
      </c>
      <c r="G7" s="16">
        <v>12000</v>
      </c>
    </row>
    <row r="8" spans="3:9" x14ac:dyDescent="0.25">
      <c r="C8" s="16">
        <v>4</v>
      </c>
      <c r="D8" s="16" t="s">
        <v>134</v>
      </c>
      <c r="E8" s="16" t="s">
        <v>55</v>
      </c>
      <c r="F8" s="16" t="s">
        <v>135</v>
      </c>
      <c r="G8" s="16">
        <v>13000</v>
      </c>
    </row>
    <row r="9" spans="3:9" ht="20.25" customHeight="1" x14ac:dyDescent="0.25">
      <c r="C9" s="16">
        <v>5</v>
      </c>
      <c r="D9" s="16" t="s">
        <v>136</v>
      </c>
      <c r="E9" s="16" t="s">
        <v>56</v>
      </c>
      <c r="F9" s="16" t="s">
        <v>129</v>
      </c>
      <c r="G9" s="16">
        <v>14000</v>
      </c>
    </row>
    <row r="10" spans="3:9" ht="30" x14ac:dyDescent="0.25">
      <c r="C10" s="16">
        <v>6</v>
      </c>
      <c r="D10" s="16" t="s">
        <v>128</v>
      </c>
      <c r="E10" s="16" t="s">
        <v>57</v>
      </c>
      <c r="F10" s="16" t="s">
        <v>131</v>
      </c>
      <c r="G10" s="16">
        <v>15000</v>
      </c>
      <c r="I10" s="16" t="s">
        <v>122</v>
      </c>
    </row>
    <row r="11" spans="3:9" x14ac:dyDescent="0.25">
      <c r="C11" s="16">
        <v>7</v>
      </c>
      <c r="D11" s="16" t="s">
        <v>130</v>
      </c>
      <c r="E11" s="16" t="s">
        <v>55</v>
      </c>
      <c r="F11" s="16" t="s">
        <v>133</v>
      </c>
      <c r="G11" s="16">
        <v>16000</v>
      </c>
    </row>
    <row r="12" spans="3:9" x14ac:dyDescent="0.25">
      <c r="C12" s="16">
        <v>8</v>
      </c>
      <c r="D12" s="16" t="s">
        <v>132</v>
      </c>
      <c r="E12" s="16" t="s">
        <v>56</v>
      </c>
      <c r="F12" s="16" t="s">
        <v>135</v>
      </c>
      <c r="G12" s="16">
        <v>17000</v>
      </c>
    </row>
    <row r="13" spans="3:9" x14ac:dyDescent="0.25">
      <c r="C13" s="16">
        <v>9</v>
      </c>
      <c r="D13" s="16" t="s">
        <v>134</v>
      </c>
      <c r="E13" s="16" t="s">
        <v>57</v>
      </c>
      <c r="F13" s="16" t="s">
        <v>129</v>
      </c>
      <c r="G13" s="16">
        <v>18000</v>
      </c>
    </row>
    <row r="14" spans="3:9" ht="30" x14ac:dyDescent="0.25">
      <c r="C14" s="16">
        <v>10</v>
      </c>
      <c r="D14" s="16" t="s">
        <v>136</v>
      </c>
      <c r="E14" s="16" t="s">
        <v>55</v>
      </c>
      <c r="F14" s="16" t="s">
        <v>131</v>
      </c>
      <c r="G14" s="16">
        <v>19000</v>
      </c>
    </row>
    <row r="15" spans="3:9" x14ac:dyDescent="0.25">
      <c r="C15" s="16">
        <v>11</v>
      </c>
      <c r="D15" s="16" t="s">
        <v>132</v>
      </c>
      <c r="E15" s="16" t="s">
        <v>56</v>
      </c>
      <c r="F15" s="16" t="s">
        <v>133</v>
      </c>
      <c r="G15" s="16">
        <v>20000</v>
      </c>
    </row>
    <row r="16" spans="3:9" x14ac:dyDescent="0.25">
      <c r="C16" s="16">
        <v>12</v>
      </c>
      <c r="D16" s="16" t="s">
        <v>134</v>
      </c>
      <c r="E16" s="16" t="s">
        <v>57</v>
      </c>
      <c r="F16" s="16" t="s">
        <v>135</v>
      </c>
      <c r="G16" s="16">
        <v>21000</v>
      </c>
    </row>
    <row r="17" spans="3:7" x14ac:dyDescent="0.25">
      <c r="C17" s="16">
        <v>13</v>
      </c>
      <c r="D17" s="16" t="s">
        <v>130</v>
      </c>
      <c r="E17" s="16" t="s">
        <v>55</v>
      </c>
      <c r="F17" s="16" t="s">
        <v>129</v>
      </c>
      <c r="G17" s="16">
        <v>22000</v>
      </c>
    </row>
    <row r="18" spans="3:7" ht="30" x14ac:dyDescent="0.25">
      <c r="C18" s="16">
        <v>14</v>
      </c>
      <c r="D18" s="16" t="s">
        <v>128</v>
      </c>
      <c r="E18" s="16" t="s">
        <v>56</v>
      </c>
      <c r="F18" s="16" t="s">
        <v>131</v>
      </c>
      <c r="G18" s="16">
        <v>23000</v>
      </c>
    </row>
    <row r="19" spans="3:7" x14ac:dyDescent="0.25">
      <c r="C19" s="16">
        <v>15</v>
      </c>
      <c r="D19" s="16" t="s">
        <v>134</v>
      </c>
      <c r="E19" s="16" t="s">
        <v>57</v>
      </c>
      <c r="F19" s="16" t="s">
        <v>133</v>
      </c>
      <c r="G19" s="16">
        <v>24000</v>
      </c>
    </row>
    <row r="20" spans="3:7" x14ac:dyDescent="0.25">
      <c r="C20" s="16">
        <v>16</v>
      </c>
      <c r="D20" s="16" t="s">
        <v>132</v>
      </c>
      <c r="E20" s="16" t="s">
        <v>55</v>
      </c>
      <c r="F20" s="16" t="s">
        <v>135</v>
      </c>
      <c r="G20" s="16">
        <v>25000</v>
      </c>
    </row>
    <row r="21" spans="3:7" ht="30" x14ac:dyDescent="0.25">
      <c r="C21" s="16">
        <v>17</v>
      </c>
      <c r="D21" s="16" t="s">
        <v>136</v>
      </c>
      <c r="E21" s="16" t="s">
        <v>56</v>
      </c>
      <c r="F21" s="16" t="s">
        <v>129</v>
      </c>
      <c r="G21" s="16">
        <v>26000</v>
      </c>
    </row>
  </sheetData>
  <mergeCells count="1">
    <mergeCell ref="C2:G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F443-3415-451B-AD1F-B984E6EF8DA2}">
  <dimension ref="A1:D6"/>
  <sheetViews>
    <sheetView workbookViewId="0">
      <selection activeCell="I21" sqref="I21"/>
    </sheetView>
  </sheetViews>
  <sheetFormatPr defaultRowHeight="15" x14ac:dyDescent="0.25"/>
  <cols>
    <col min="1" max="2" width="16.85546875" bestFit="1" customWidth="1"/>
    <col min="3" max="3" width="7" bestFit="1" customWidth="1"/>
    <col min="4" max="4" width="11.28515625" bestFit="1" customWidth="1"/>
    <col min="5" max="5" width="7" bestFit="1" customWidth="1"/>
    <col min="6" max="6" width="11.28515625" bestFit="1" customWidth="1"/>
  </cols>
  <sheetData>
    <row r="1" spans="1:4" x14ac:dyDescent="0.25">
      <c r="A1" s="27" t="s">
        <v>125</v>
      </c>
      <c r="B1" t="s">
        <v>146</v>
      </c>
    </row>
    <row r="3" spans="1:4" x14ac:dyDescent="0.25">
      <c r="A3" s="27" t="s">
        <v>145</v>
      </c>
      <c r="B3" s="27" t="s">
        <v>144</v>
      </c>
    </row>
    <row r="4" spans="1:4" x14ac:dyDescent="0.25">
      <c r="A4" s="27" t="s">
        <v>142</v>
      </c>
      <c r="B4" t="s">
        <v>133</v>
      </c>
      <c r="C4" t="s">
        <v>135</v>
      </c>
      <c r="D4" t="s">
        <v>143</v>
      </c>
    </row>
    <row r="5" spans="1:4" x14ac:dyDescent="0.25">
      <c r="A5" s="28" t="s">
        <v>134</v>
      </c>
      <c r="B5" s="29">
        <v>24000</v>
      </c>
      <c r="C5" s="29">
        <v>34000</v>
      </c>
      <c r="D5" s="29">
        <v>58000</v>
      </c>
    </row>
    <row r="6" spans="1:4" x14ac:dyDescent="0.25">
      <c r="A6" s="28" t="s">
        <v>143</v>
      </c>
      <c r="B6" s="29">
        <v>24000</v>
      </c>
      <c r="C6" s="29">
        <v>34000</v>
      </c>
      <c r="D6" s="29">
        <v>58000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E2FF8-DFD5-4207-BDA9-C26F28D2D8FA}">
  <dimension ref="A1:E20"/>
  <sheetViews>
    <sheetView workbookViewId="0">
      <selection activeCell="G14" sqref="G14"/>
    </sheetView>
  </sheetViews>
  <sheetFormatPr defaultRowHeight="15" x14ac:dyDescent="0.25"/>
  <cols>
    <col min="1" max="1" width="12.140625" customWidth="1"/>
    <col min="2" max="2" width="14.28515625" customWidth="1"/>
    <col min="3" max="3" width="13" customWidth="1"/>
    <col min="4" max="4" width="11.85546875" customWidth="1"/>
    <col min="5" max="5" width="11.42578125" customWidth="1"/>
  </cols>
  <sheetData>
    <row r="1" spans="1:5" x14ac:dyDescent="0.25">
      <c r="A1" s="60" t="s">
        <v>137</v>
      </c>
      <c r="B1" s="60"/>
      <c r="C1" s="60"/>
      <c r="D1" s="60"/>
      <c r="E1" s="60"/>
    </row>
    <row r="2" spans="1:5" x14ac:dyDescent="0.25">
      <c r="A2" s="60"/>
      <c r="B2" s="60"/>
      <c r="C2" s="60"/>
      <c r="D2" s="60"/>
      <c r="E2" s="60"/>
    </row>
    <row r="3" spans="1:5" ht="30" x14ac:dyDescent="0.25">
      <c r="A3" s="15" t="s">
        <v>123</v>
      </c>
      <c r="B3" s="15" t="s">
        <v>124</v>
      </c>
      <c r="C3" s="15" t="s">
        <v>125</v>
      </c>
      <c r="D3" s="15" t="s">
        <v>126</v>
      </c>
      <c r="E3" s="15" t="s">
        <v>127</v>
      </c>
    </row>
    <row r="4" spans="1:5" ht="30" x14ac:dyDescent="0.25">
      <c r="A4" s="16">
        <v>1</v>
      </c>
      <c r="B4" s="16" t="s">
        <v>128</v>
      </c>
      <c r="C4" s="16" t="s">
        <v>55</v>
      </c>
      <c r="D4" s="16" t="s">
        <v>129</v>
      </c>
      <c r="E4" s="16">
        <v>10000</v>
      </c>
    </row>
    <row r="5" spans="1:5" x14ac:dyDescent="0.25">
      <c r="A5" s="16">
        <v>2</v>
      </c>
      <c r="B5" s="16" t="s">
        <v>130</v>
      </c>
      <c r="C5" s="16" t="s">
        <v>56</v>
      </c>
      <c r="D5" s="16" t="s">
        <v>131</v>
      </c>
      <c r="E5" s="16">
        <v>11000</v>
      </c>
    </row>
    <row r="6" spans="1:5" x14ac:dyDescent="0.25">
      <c r="A6" s="16">
        <v>3</v>
      </c>
      <c r="B6" s="16" t="s">
        <v>132</v>
      </c>
      <c r="C6" s="16" t="s">
        <v>57</v>
      </c>
      <c r="D6" s="16" t="s">
        <v>133</v>
      </c>
      <c r="E6" s="16">
        <v>12000</v>
      </c>
    </row>
    <row r="7" spans="1:5" x14ac:dyDescent="0.25">
      <c r="A7" s="16">
        <v>4</v>
      </c>
      <c r="B7" s="16" t="s">
        <v>134</v>
      </c>
      <c r="C7" s="16" t="s">
        <v>55</v>
      </c>
      <c r="D7" s="16" t="s">
        <v>135</v>
      </c>
      <c r="E7" s="16">
        <v>13000</v>
      </c>
    </row>
    <row r="8" spans="1:5" ht="30" x14ac:dyDescent="0.25">
      <c r="A8" s="16">
        <v>5</v>
      </c>
      <c r="B8" s="16" t="s">
        <v>136</v>
      </c>
      <c r="C8" s="16" t="s">
        <v>56</v>
      </c>
      <c r="D8" s="16" t="s">
        <v>129</v>
      </c>
      <c r="E8" s="16">
        <v>14000</v>
      </c>
    </row>
    <row r="9" spans="1:5" ht="30" x14ac:dyDescent="0.25">
      <c r="A9" s="16">
        <v>6</v>
      </c>
      <c r="B9" s="16" t="s">
        <v>128</v>
      </c>
      <c r="C9" s="16" t="s">
        <v>57</v>
      </c>
      <c r="D9" s="16" t="s">
        <v>131</v>
      </c>
      <c r="E9" s="16">
        <v>15000</v>
      </c>
    </row>
    <row r="10" spans="1:5" x14ac:dyDescent="0.25">
      <c r="A10" s="16">
        <v>7</v>
      </c>
      <c r="B10" s="16" t="s">
        <v>130</v>
      </c>
      <c r="C10" s="16" t="s">
        <v>55</v>
      </c>
      <c r="D10" s="16" t="s">
        <v>133</v>
      </c>
      <c r="E10" s="16">
        <v>16000</v>
      </c>
    </row>
    <row r="11" spans="1:5" x14ac:dyDescent="0.25">
      <c r="A11" s="16">
        <v>8</v>
      </c>
      <c r="B11" s="16" t="s">
        <v>132</v>
      </c>
      <c r="C11" s="16" t="s">
        <v>56</v>
      </c>
      <c r="D11" s="16" t="s">
        <v>135</v>
      </c>
      <c r="E11" s="16">
        <v>17000</v>
      </c>
    </row>
    <row r="12" spans="1:5" x14ac:dyDescent="0.25">
      <c r="A12" s="16">
        <v>9</v>
      </c>
      <c r="B12" s="16" t="s">
        <v>134</v>
      </c>
      <c r="C12" s="16" t="s">
        <v>57</v>
      </c>
      <c r="D12" s="16" t="s">
        <v>129</v>
      </c>
      <c r="E12" s="16">
        <v>18000</v>
      </c>
    </row>
    <row r="13" spans="1:5" ht="30" x14ac:dyDescent="0.25">
      <c r="A13" s="16">
        <v>10</v>
      </c>
      <c r="B13" s="16" t="s">
        <v>136</v>
      </c>
      <c r="C13" s="16" t="s">
        <v>55</v>
      </c>
      <c r="D13" s="16" t="s">
        <v>131</v>
      </c>
      <c r="E13" s="16">
        <v>19000</v>
      </c>
    </row>
    <row r="14" spans="1:5" x14ac:dyDescent="0.25">
      <c r="A14" s="16">
        <v>11</v>
      </c>
      <c r="B14" s="16" t="s">
        <v>132</v>
      </c>
      <c r="C14" s="16" t="s">
        <v>56</v>
      </c>
      <c r="D14" s="16" t="s">
        <v>133</v>
      </c>
      <c r="E14" s="16">
        <v>20000</v>
      </c>
    </row>
    <row r="15" spans="1:5" x14ac:dyDescent="0.25">
      <c r="A15" s="16">
        <v>12</v>
      </c>
      <c r="B15" s="16" t="s">
        <v>134</v>
      </c>
      <c r="C15" s="16" t="s">
        <v>57</v>
      </c>
      <c r="D15" s="16" t="s">
        <v>135</v>
      </c>
      <c r="E15" s="16">
        <v>21000</v>
      </c>
    </row>
    <row r="16" spans="1:5" x14ac:dyDescent="0.25">
      <c r="A16" s="16">
        <v>13</v>
      </c>
      <c r="B16" s="16" t="s">
        <v>130</v>
      </c>
      <c r="C16" s="16" t="s">
        <v>55</v>
      </c>
      <c r="D16" s="16" t="s">
        <v>129</v>
      </c>
      <c r="E16" s="16">
        <v>22000</v>
      </c>
    </row>
    <row r="17" spans="1:5" ht="30" x14ac:dyDescent="0.25">
      <c r="A17" s="16">
        <v>14</v>
      </c>
      <c r="B17" s="16" t="s">
        <v>128</v>
      </c>
      <c r="C17" s="16" t="s">
        <v>56</v>
      </c>
      <c r="D17" s="16" t="s">
        <v>131</v>
      </c>
      <c r="E17" s="16">
        <v>23000</v>
      </c>
    </row>
    <row r="18" spans="1:5" x14ac:dyDescent="0.25">
      <c r="A18" s="16">
        <v>15</v>
      </c>
      <c r="B18" s="16" t="s">
        <v>134</v>
      </c>
      <c r="C18" s="16" t="s">
        <v>57</v>
      </c>
      <c r="D18" s="16" t="s">
        <v>133</v>
      </c>
      <c r="E18" s="16">
        <v>24000</v>
      </c>
    </row>
    <row r="19" spans="1:5" x14ac:dyDescent="0.25">
      <c r="A19" s="16">
        <v>16</v>
      </c>
      <c r="B19" s="16" t="s">
        <v>132</v>
      </c>
      <c r="C19" s="16" t="s">
        <v>55</v>
      </c>
      <c r="D19" s="16" t="s">
        <v>135</v>
      </c>
      <c r="E19" s="16">
        <v>25000</v>
      </c>
    </row>
    <row r="20" spans="1:5" ht="30" x14ac:dyDescent="0.25">
      <c r="A20" s="16">
        <v>17</v>
      </c>
      <c r="B20" s="16" t="s">
        <v>136</v>
      </c>
      <c r="C20" s="16" t="s">
        <v>56</v>
      </c>
      <c r="D20" s="16" t="s">
        <v>129</v>
      </c>
      <c r="E20" s="16">
        <v>26000</v>
      </c>
    </row>
  </sheetData>
  <mergeCells count="1">
    <mergeCell ref="A1:E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5D7A8-7E0B-471C-86BC-F7707591843E}">
  <dimension ref="A1:C8"/>
  <sheetViews>
    <sheetView topLeftCell="A3" workbookViewId="0">
      <selection activeCell="A10" sqref="A10"/>
    </sheetView>
  </sheetViews>
  <sheetFormatPr defaultRowHeight="15" x14ac:dyDescent="0.25"/>
  <cols>
    <col min="1" max="2" width="16.85546875" bestFit="1" customWidth="1"/>
    <col min="3" max="3" width="11.28515625" bestFit="1" customWidth="1"/>
    <col min="4" max="4" width="8.140625" bestFit="1" customWidth="1"/>
    <col min="5" max="5" width="7" bestFit="1" customWidth="1"/>
    <col min="6" max="6" width="11.28515625" bestFit="1" customWidth="1"/>
  </cols>
  <sheetData>
    <row r="1" spans="1:3" x14ac:dyDescent="0.25">
      <c r="A1" s="27" t="s">
        <v>125</v>
      </c>
      <c r="B1" t="s">
        <v>146</v>
      </c>
    </row>
    <row r="3" spans="1:3" x14ac:dyDescent="0.25">
      <c r="A3" s="27" t="s">
        <v>145</v>
      </c>
      <c r="B3" s="27" t="s">
        <v>144</v>
      </c>
    </row>
    <row r="4" spans="1:3" x14ac:dyDescent="0.25">
      <c r="A4" s="27" t="s">
        <v>142</v>
      </c>
      <c r="B4" t="s">
        <v>133</v>
      </c>
      <c r="C4" t="s">
        <v>143</v>
      </c>
    </row>
    <row r="5" spans="1:3" x14ac:dyDescent="0.25">
      <c r="A5" s="28" t="s">
        <v>134</v>
      </c>
      <c r="B5" s="29">
        <v>24000</v>
      </c>
      <c r="C5" s="29">
        <v>24000</v>
      </c>
    </row>
    <row r="6" spans="1:3" x14ac:dyDescent="0.25">
      <c r="A6" s="28" t="s">
        <v>132</v>
      </c>
      <c r="B6" s="29">
        <v>32000</v>
      </c>
      <c r="C6" s="29">
        <v>32000</v>
      </c>
    </row>
    <row r="7" spans="1:3" x14ac:dyDescent="0.25">
      <c r="A7" s="28" t="s">
        <v>130</v>
      </c>
      <c r="B7" s="29">
        <v>16000</v>
      </c>
      <c r="C7" s="29">
        <v>16000</v>
      </c>
    </row>
    <row r="8" spans="1:3" x14ac:dyDescent="0.25">
      <c r="A8" s="28" t="s">
        <v>143</v>
      </c>
      <c r="B8" s="29">
        <v>72000</v>
      </c>
      <c r="C8" s="29">
        <v>72000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3479A-D99C-41BE-87C3-C4EE9B35A7FD}">
  <dimension ref="A1:G14"/>
  <sheetViews>
    <sheetView workbookViewId="0">
      <selection activeCell="D19" sqref="D19"/>
    </sheetView>
  </sheetViews>
  <sheetFormatPr defaultRowHeight="15" x14ac:dyDescent="0.25"/>
  <cols>
    <col min="1" max="1" width="8.85546875" bestFit="1" customWidth="1"/>
    <col min="2" max="2" width="21" customWidth="1"/>
    <col min="3" max="3" width="14.5703125" customWidth="1"/>
    <col min="4" max="4" width="19.85546875" customWidth="1"/>
    <col min="5" max="5" width="19.5703125" customWidth="1"/>
    <col min="6" max="6" width="15.140625" customWidth="1"/>
    <col min="7" max="7" width="22.5703125" customWidth="1"/>
  </cols>
  <sheetData>
    <row r="1" spans="1:7" ht="26.25" x14ac:dyDescent="0.4">
      <c r="A1" s="61" t="s">
        <v>159</v>
      </c>
      <c r="B1" s="61"/>
      <c r="C1" s="61"/>
      <c r="D1" s="61"/>
      <c r="E1" s="61"/>
      <c r="F1" s="61"/>
      <c r="G1" s="61"/>
    </row>
    <row r="2" spans="1:7" ht="30" x14ac:dyDescent="0.25">
      <c r="A2" s="33" t="s">
        <v>33</v>
      </c>
      <c r="B2" s="33" t="s">
        <v>147</v>
      </c>
      <c r="C2" s="33" t="s">
        <v>148</v>
      </c>
      <c r="D2" s="33" t="s">
        <v>149</v>
      </c>
      <c r="E2" s="33" t="s">
        <v>150</v>
      </c>
      <c r="F2" s="33" t="s">
        <v>151</v>
      </c>
      <c r="G2" s="33" t="s">
        <v>152</v>
      </c>
    </row>
    <row r="3" spans="1:7" x14ac:dyDescent="0.25">
      <c r="A3" s="31">
        <v>1</v>
      </c>
      <c r="B3" s="31" t="s">
        <v>111</v>
      </c>
      <c r="C3" s="31">
        <v>50000</v>
      </c>
      <c r="D3" s="31">
        <v>10000</v>
      </c>
      <c r="E3" s="31">
        <v>3</v>
      </c>
      <c r="F3" s="32">
        <v>0.08</v>
      </c>
      <c r="G3" s="35">
        <f>PMT(F3/12,E3*12,C3-D3)</f>
        <v>-1253.4546184572339</v>
      </c>
    </row>
    <row r="4" spans="1:7" ht="39.75" customHeight="1" x14ac:dyDescent="0.25">
      <c r="A4" s="31" t="s">
        <v>153</v>
      </c>
      <c r="B4" s="31" t="s">
        <v>113</v>
      </c>
      <c r="C4" s="31">
        <v>30000</v>
      </c>
      <c r="D4" s="31">
        <v>5000</v>
      </c>
      <c r="E4" s="31">
        <v>4</v>
      </c>
      <c r="F4" s="32">
        <v>0.09</v>
      </c>
      <c r="G4" s="34">
        <f t="shared" ref="G4:G10" si="0">PMT(F4/12,E4*12,C4-D4)</f>
        <v>-622.12605934835528</v>
      </c>
    </row>
    <row r="5" spans="1:7" x14ac:dyDescent="0.25">
      <c r="A5" s="31">
        <v>3</v>
      </c>
      <c r="B5" s="31" t="s">
        <v>114</v>
      </c>
      <c r="C5" s="31">
        <v>25000</v>
      </c>
      <c r="D5" s="31">
        <v>4000</v>
      </c>
      <c r="E5" s="31">
        <v>1</v>
      </c>
      <c r="F5" s="32">
        <v>7.0000000000000007E-2</v>
      </c>
      <c r="G5" s="34">
        <f t="shared" si="0"/>
        <v>-1817.0616680608991</v>
      </c>
    </row>
    <row r="6" spans="1:7" x14ac:dyDescent="0.25">
      <c r="A6" s="31">
        <v>4</v>
      </c>
      <c r="B6" s="31" t="s">
        <v>154</v>
      </c>
      <c r="C6" s="31">
        <v>8000</v>
      </c>
      <c r="D6" s="31">
        <v>1000</v>
      </c>
      <c r="E6" s="31">
        <v>1</v>
      </c>
      <c r="F6" s="32">
        <v>0.05</v>
      </c>
      <c r="G6" s="34">
        <f t="shared" si="0"/>
        <v>-599.2523725192699</v>
      </c>
    </row>
    <row r="7" spans="1:7" x14ac:dyDescent="0.25">
      <c r="A7" s="31">
        <v>5</v>
      </c>
      <c r="B7" s="31" t="s">
        <v>155</v>
      </c>
      <c r="C7" s="31">
        <v>55000</v>
      </c>
      <c r="D7" s="31">
        <v>9000</v>
      </c>
      <c r="E7" s="31">
        <v>3</v>
      </c>
      <c r="F7" s="32">
        <v>0.2</v>
      </c>
      <c r="G7" s="34">
        <f t="shared" si="0"/>
        <v>-1709.5248345480607</v>
      </c>
    </row>
    <row r="8" spans="1:7" x14ac:dyDescent="0.25">
      <c r="A8" s="31">
        <v>6</v>
      </c>
      <c r="B8" s="31" t="s">
        <v>156</v>
      </c>
      <c r="C8" s="31">
        <v>40000</v>
      </c>
      <c r="D8" s="31">
        <v>5000</v>
      </c>
      <c r="E8" s="31">
        <v>2</v>
      </c>
      <c r="F8" s="32">
        <v>0.1</v>
      </c>
      <c r="G8" s="34">
        <f t="shared" si="0"/>
        <v>-1615.0724218130777</v>
      </c>
    </row>
    <row r="9" spans="1:7" x14ac:dyDescent="0.25">
      <c r="A9" s="31">
        <v>7</v>
      </c>
      <c r="B9" s="31" t="s">
        <v>157</v>
      </c>
      <c r="C9" s="31">
        <v>35000</v>
      </c>
      <c r="D9" s="31">
        <v>10000</v>
      </c>
      <c r="E9" s="31">
        <v>3</v>
      </c>
      <c r="F9" s="32">
        <v>0.15</v>
      </c>
      <c r="G9" s="34">
        <f t="shared" si="0"/>
        <v>-866.63321260485327</v>
      </c>
    </row>
    <row r="10" spans="1:7" x14ac:dyDescent="0.25">
      <c r="A10" s="31">
        <v>8</v>
      </c>
      <c r="B10" s="31" t="s">
        <v>112</v>
      </c>
      <c r="C10" s="31">
        <v>70000</v>
      </c>
      <c r="D10" s="31">
        <v>7000</v>
      </c>
      <c r="E10" s="31">
        <v>3</v>
      </c>
      <c r="F10" s="32">
        <v>0.15</v>
      </c>
      <c r="G10" s="34">
        <f t="shared" si="0"/>
        <v>-2183.9156957642303</v>
      </c>
    </row>
    <row r="11" spans="1:7" ht="17.25" x14ac:dyDescent="0.25">
      <c r="A11" s="30"/>
    </row>
    <row r="14" spans="1:7" x14ac:dyDescent="0.25">
      <c r="A14" t="s">
        <v>158</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8632-AC3B-422E-B0F8-D4501161A75A}">
  <dimension ref="C6:K22"/>
  <sheetViews>
    <sheetView topLeftCell="B7" workbookViewId="0">
      <selection activeCell="P20" sqref="P20"/>
    </sheetView>
  </sheetViews>
  <sheetFormatPr defaultRowHeight="15" x14ac:dyDescent="0.25"/>
  <cols>
    <col min="3" max="3" width="13.42578125" customWidth="1"/>
    <col min="4" max="4" width="21.42578125" customWidth="1"/>
    <col min="5" max="5" width="13" customWidth="1"/>
    <col min="6" max="6" width="14.85546875" customWidth="1"/>
    <col min="7" max="7" width="14.28515625" customWidth="1"/>
    <col min="8" max="8" width="13.28515625" customWidth="1"/>
    <col min="9" max="9" width="12.140625" customWidth="1"/>
    <col min="10" max="10" width="14.42578125" customWidth="1"/>
    <col min="11" max="11" width="12.7109375" customWidth="1"/>
  </cols>
  <sheetData>
    <row r="6" spans="3:11" ht="54" customHeight="1" x14ac:dyDescent="0.25">
      <c r="C6" s="62" t="s">
        <v>160</v>
      </c>
      <c r="D6" s="62"/>
      <c r="E6" s="62"/>
      <c r="F6" s="62"/>
      <c r="G6" s="62"/>
      <c r="H6" s="62"/>
      <c r="I6" s="62"/>
      <c r="J6" s="62"/>
      <c r="K6" s="62"/>
    </row>
    <row r="7" spans="3:11" ht="18.75" customHeight="1" x14ac:dyDescent="0.25">
      <c r="C7" s="37"/>
      <c r="D7" s="63" t="s">
        <v>165</v>
      </c>
      <c r="E7" s="63"/>
      <c r="F7" s="63"/>
      <c r="G7" s="63"/>
      <c r="H7" s="63"/>
      <c r="I7" s="63"/>
      <c r="J7" s="63"/>
      <c r="K7" s="63"/>
    </row>
    <row r="8" spans="3:11" ht="16.5" x14ac:dyDescent="0.25">
      <c r="C8" s="38" t="s">
        <v>161</v>
      </c>
      <c r="D8" s="38">
        <v>1</v>
      </c>
      <c r="E8" s="38">
        <v>2</v>
      </c>
      <c r="F8" s="38">
        <v>3</v>
      </c>
      <c r="G8" s="38">
        <v>4</v>
      </c>
      <c r="H8" s="38">
        <v>5</v>
      </c>
      <c r="I8" s="38">
        <v>6</v>
      </c>
      <c r="J8" s="38">
        <v>7</v>
      </c>
      <c r="K8" s="38">
        <v>8</v>
      </c>
    </row>
    <row r="9" spans="3:11" ht="16.5" x14ac:dyDescent="0.25">
      <c r="C9" s="39">
        <v>1</v>
      </c>
      <c r="D9" s="40">
        <v>500</v>
      </c>
      <c r="E9" s="40">
        <v>400</v>
      </c>
      <c r="F9" s="40">
        <v>450</v>
      </c>
      <c r="G9" s="40">
        <v>500</v>
      </c>
      <c r="H9" s="40">
        <v>600</v>
      </c>
      <c r="I9" s="40">
        <v>700</v>
      </c>
      <c r="J9" s="40">
        <v>730</v>
      </c>
      <c r="K9" s="40">
        <v>750</v>
      </c>
    </row>
    <row r="10" spans="3:11" ht="16.5" x14ac:dyDescent="0.25">
      <c r="C10" s="39">
        <v>2</v>
      </c>
      <c r="D10" s="40">
        <v>600</v>
      </c>
      <c r="E10" s="40">
        <v>500</v>
      </c>
      <c r="F10" s="40">
        <v>500</v>
      </c>
      <c r="G10" s="40">
        <v>550</v>
      </c>
      <c r="H10" s="40">
        <v>700</v>
      </c>
      <c r="I10" s="40">
        <v>800</v>
      </c>
      <c r="J10" s="40">
        <v>760</v>
      </c>
      <c r="K10" s="40">
        <v>850</v>
      </c>
    </row>
    <row r="11" spans="3:11" ht="16.5" x14ac:dyDescent="0.25">
      <c r="C11" s="39">
        <v>3</v>
      </c>
      <c r="D11" s="40">
        <v>700</v>
      </c>
      <c r="E11" s="40">
        <v>600</v>
      </c>
      <c r="F11" s="40">
        <v>550</v>
      </c>
      <c r="G11" s="40">
        <v>600</v>
      </c>
      <c r="H11" s="40">
        <v>800</v>
      </c>
      <c r="I11" s="40">
        <v>900</v>
      </c>
      <c r="J11" s="40">
        <v>790</v>
      </c>
      <c r="K11" s="40">
        <v>950</v>
      </c>
    </row>
    <row r="12" spans="3:11" ht="16.5" x14ac:dyDescent="0.25">
      <c r="C12" s="39">
        <v>4</v>
      </c>
      <c r="D12" s="40">
        <v>800</v>
      </c>
      <c r="E12" s="40">
        <v>700</v>
      </c>
      <c r="F12" s="40">
        <v>650</v>
      </c>
      <c r="G12" s="40">
        <v>700</v>
      </c>
      <c r="H12" s="40">
        <v>900</v>
      </c>
      <c r="I12" s="40">
        <v>1000</v>
      </c>
      <c r="J12" s="40">
        <v>820</v>
      </c>
      <c r="K12" s="40">
        <v>1050</v>
      </c>
    </row>
    <row r="13" spans="3:11" ht="16.5" x14ac:dyDescent="0.25">
      <c r="C13" s="39">
        <v>5</v>
      </c>
      <c r="D13" s="40">
        <v>900</v>
      </c>
      <c r="E13" s="40">
        <v>800</v>
      </c>
      <c r="F13" s="40">
        <v>650</v>
      </c>
      <c r="G13" s="40">
        <v>700</v>
      </c>
      <c r="H13" s="40">
        <v>1100</v>
      </c>
      <c r="I13" s="40">
        <v>1100</v>
      </c>
      <c r="J13" s="40">
        <v>850</v>
      </c>
      <c r="K13" s="40">
        <v>1150</v>
      </c>
    </row>
    <row r="14" spans="3:11" ht="16.5" x14ac:dyDescent="0.25">
      <c r="C14" s="39">
        <v>6</v>
      </c>
      <c r="D14" s="40">
        <v>1000</v>
      </c>
      <c r="E14" s="40">
        <v>900</v>
      </c>
      <c r="F14" s="40">
        <v>750</v>
      </c>
      <c r="G14" s="40">
        <v>750</v>
      </c>
      <c r="H14" s="40">
        <v>1200</v>
      </c>
      <c r="I14" s="40">
        <v>1200</v>
      </c>
      <c r="J14" s="40">
        <v>880</v>
      </c>
      <c r="K14" s="40">
        <v>1250</v>
      </c>
    </row>
    <row r="15" spans="3:11" ht="16.5" x14ac:dyDescent="0.25">
      <c r="C15" s="39">
        <v>7</v>
      </c>
      <c r="D15" s="40">
        <v>1100</v>
      </c>
      <c r="E15" s="40">
        <v>1000</v>
      </c>
      <c r="F15" s="40">
        <v>750</v>
      </c>
      <c r="G15" s="40">
        <v>800</v>
      </c>
      <c r="H15" s="40">
        <v>1300</v>
      </c>
      <c r="I15" s="40">
        <v>1300</v>
      </c>
      <c r="J15" s="40">
        <v>910</v>
      </c>
      <c r="K15" s="40">
        <v>1350</v>
      </c>
    </row>
    <row r="16" spans="3:11" ht="16.5" x14ac:dyDescent="0.25">
      <c r="C16" s="39">
        <v>8</v>
      </c>
      <c r="D16" s="40">
        <v>1200</v>
      </c>
      <c r="E16" s="40">
        <v>1100</v>
      </c>
      <c r="F16" s="40">
        <v>800</v>
      </c>
      <c r="G16" s="40">
        <v>850</v>
      </c>
      <c r="H16" s="40">
        <v>1300</v>
      </c>
      <c r="I16" s="40">
        <v>1400</v>
      </c>
      <c r="J16" s="40">
        <v>940</v>
      </c>
      <c r="K16" s="40">
        <v>1450</v>
      </c>
    </row>
    <row r="20" spans="3:5" ht="33" customHeight="1" x14ac:dyDescent="0.25">
      <c r="C20" s="64" t="s">
        <v>162</v>
      </c>
      <c r="D20" s="64"/>
      <c r="E20">
        <v>8</v>
      </c>
    </row>
    <row r="21" spans="3:5" ht="26.25" customHeight="1" x14ac:dyDescent="0.25">
      <c r="C21" s="64" t="s">
        <v>163</v>
      </c>
      <c r="D21" s="64"/>
      <c r="E21">
        <v>4</v>
      </c>
    </row>
    <row r="22" spans="3:5" ht="17.25" x14ac:dyDescent="0.25">
      <c r="C22" s="64" t="s">
        <v>164</v>
      </c>
      <c r="D22" s="64"/>
      <c r="E22" s="36" cm="1">
        <f t="array" ref="E22">INDEX(D9:K16,E20,E21)</f>
        <v>850</v>
      </c>
    </row>
  </sheetData>
  <mergeCells count="5">
    <mergeCell ref="C6:K6"/>
    <mergeCell ref="D7:K7"/>
    <mergeCell ref="C20:D20"/>
    <mergeCell ref="C21:D21"/>
    <mergeCell ref="C22:D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9EB02-6E71-4F80-9D4D-6400DD54E820}">
  <dimension ref="B4:F18"/>
  <sheetViews>
    <sheetView workbookViewId="0">
      <selection activeCell="F20" sqref="F20"/>
    </sheetView>
  </sheetViews>
  <sheetFormatPr defaultRowHeight="15" x14ac:dyDescent="0.25"/>
  <cols>
    <col min="2" max="2" width="19.85546875" customWidth="1"/>
    <col min="3" max="3" width="16.5703125" customWidth="1"/>
    <col min="4" max="4" width="19.42578125" customWidth="1"/>
    <col min="5" max="5" width="22" customWidth="1"/>
    <col min="6" max="6" width="12.85546875" customWidth="1"/>
  </cols>
  <sheetData>
    <row r="4" spans="2:6" x14ac:dyDescent="0.25">
      <c r="B4" s="65" t="s">
        <v>178</v>
      </c>
      <c r="C4" s="65"/>
      <c r="D4" s="65"/>
      <c r="E4" s="65"/>
      <c r="F4" s="65"/>
    </row>
    <row r="5" spans="2:6" x14ac:dyDescent="0.25">
      <c r="B5" s="66"/>
      <c r="C5" s="66"/>
      <c r="D5" s="66"/>
      <c r="E5" s="66"/>
      <c r="F5" s="66"/>
    </row>
    <row r="6" spans="2:6" ht="33" x14ac:dyDescent="0.25">
      <c r="B6" s="42" t="s">
        <v>166</v>
      </c>
      <c r="C6" s="42" t="s">
        <v>167</v>
      </c>
      <c r="D6" s="42" t="s">
        <v>168</v>
      </c>
      <c r="E6" s="42" t="s">
        <v>169</v>
      </c>
      <c r="F6" s="42" t="s">
        <v>148</v>
      </c>
    </row>
    <row r="7" spans="2:6" ht="16.5" x14ac:dyDescent="0.25">
      <c r="B7" s="41">
        <v>1</v>
      </c>
      <c r="C7" s="41">
        <v>100</v>
      </c>
      <c r="D7" s="41">
        <f ca="1">RANDBETWEEN($B$7,$C$7)</f>
        <v>19</v>
      </c>
      <c r="E7" s="41" t="s">
        <v>170</v>
      </c>
      <c r="F7" s="41">
        <v>5000000</v>
      </c>
    </row>
    <row r="8" spans="2:6" ht="16.5" x14ac:dyDescent="0.25">
      <c r="B8" s="41"/>
      <c r="C8" s="41"/>
      <c r="D8" s="41">
        <f t="shared" ref="D8:D14" ca="1" si="0">RANDBETWEEN($B$7,$C$7)</f>
        <v>20</v>
      </c>
      <c r="E8" s="41" t="s">
        <v>171</v>
      </c>
      <c r="F8" s="41">
        <v>500000</v>
      </c>
    </row>
    <row r="9" spans="2:6" ht="16.5" x14ac:dyDescent="0.25">
      <c r="B9" s="41"/>
      <c r="C9" s="41"/>
      <c r="D9" s="41">
        <f t="shared" ca="1" si="0"/>
        <v>36</v>
      </c>
      <c r="E9" s="41" t="s">
        <v>172</v>
      </c>
      <c r="F9" s="41">
        <v>50000</v>
      </c>
    </row>
    <row r="10" spans="2:6" ht="16.5" x14ac:dyDescent="0.25">
      <c r="B10" s="41"/>
      <c r="C10" s="41"/>
      <c r="D10" s="41">
        <f t="shared" ca="1" si="0"/>
        <v>96</v>
      </c>
      <c r="E10" s="41" t="s">
        <v>173</v>
      </c>
      <c r="F10" s="41">
        <v>45000</v>
      </c>
    </row>
    <row r="11" spans="2:6" ht="16.5" x14ac:dyDescent="0.25">
      <c r="B11" s="41"/>
      <c r="C11" s="41"/>
      <c r="D11" s="41">
        <f t="shared" ca="1" si="0"/>
        <v>96</v>
      </c>
      <c r="E11" s="41" t="s">
        <v>174</v>
      </c>
      <c r="F11" s="41">
        <v>30000</v>
      </c>
    </row>
    <row r="12" spans="2:6" ht="16.5" x14ac:dyDescent="0.25">
      <c r="B12" s="41"/>
      <c r="C12" s="41"/>
      <c r="D12" s="41">
        <f t="shared" ca="1" si="0"/>
        <v>17</v>
      </c>
      <c r="E12" s="41" t="s">
        <v>175</v>
      </c>
      <c r="F12" s="41">
        <v>20000</v>
      </c>
    </row>
    <row r="13" spans="2:6" ht="16.5" x14ac:dyDescent="0.25">
      <c r="B13" s="41"/>
      <c r="C13" s="41"/>
      <c r="D13" s="41">
        <f t="shared" ca="1" si="0"/>
        <v>97</v>
      </c>
      <c r="E13" s="41" t="s">
        <v>176</v>
      </c>
      <c r="F13" s="41">
        <v>10000</v>
      </c>
    </row>
    <row r="14" spans="2:6" ht="16.5" x14ac:dyDescent="0.25">
      <c r="B14" s="41"/>
      <c r="C14" s="41"/>
      <c r="D14" s="41">
        <f t="shared" ca="1" si="0"/>
        <v>41</v>
      </c>
      <c r="E14" s="41" t="s">
        <v>177</v>
      </c>
      <c r="F14" s="41">
        <v>8000</v>
      </c>
    </row>
    <row r="15" spans="2:6" ht="16.5" x14ac:dyDescent="0.25">
      <c r="D15" s="43"/>
      <c r="E15" s="1"/>
    </row>
    <row r="18" spans="3:3" x14ac:dyDescent="0.25">
      <c r="C18">
        <f ca="1">RAND()</f>
        <v>0.74040159807141048</v>
      </c>
    </row>
  </sheetData>
  <mergeCells count="1">
    <mergeCell ref="B4:F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3AA8-92CD-4809-9E3F-DFCCC47EC3F7}">
  <sheetPr>
    <pageSetUpPr fitToPage="1"/>
  </sheetPr>
  <dimension ref="A1:AL19"/>
  <sheetViews>
    <sheetView tabSelected="1" zoomScale="98" zoomScaleNormal="98" workbookViewId="0">
      <selection activeCell="J22" sqref="J22"/>
    </sheetView>
  </sheetViews>
  <sheetFormatPr defaultRowHeight="15" x14ac:dyDescent="0.25"/>
  <cols>
    <col min="1" max="1" width="10.28515625" bestFit="1" customWidth="1"/>
    <col min="4" max="4" width="5.7109375" customWidth="1"/>
    <col min="5" max="12" width="3.28515625" customWidth="1"/>
    <col min="13" max="13" width="4.140625" customWidth="1"/>
    <col min="14" max="14" width="4.85546875" customWidth="1"/>
    <col min="15" max="15" width="5.28515625" customWidth="1"/>
    <col min="16" max="16" width="4.7109375" customWidth="1"/>
    <col min="17" max="17" width="4.85546875" customWidth="1"/>
    <col min="18" max="34" width="4" bestFit="1" customWidth="1"/>
    <col min="35" max="35" width="11" customWidth="1"/>
  </cols>
  <sheetData>
    <row r="1" spans="1:38" ht="26.25" x14ac:dyDescent="0.4">
      <c r="A1" s="67" t="s">
        <v>195</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row>
    <row r="2" spans="1:38" ht="17.25" x14ac:dyDescent="0.3">
      <c r="A2" s="45" t="s">
        <v>179</v>
      </c>
      <c r="B2" s="45" t="s">
        <v>2</v>
      </c>
      <c r="C2" s="45" t="s">
        <v>191</v>
      </c>
      <c r="D2" s="46">
        <v>1</v>
      </c>
      <c r="E2" s="46">
        <v>2</v>
      </c>
      <c r="F2" s="46">
        <v>3</v>
      </c>
      <c r="G2" s="46">
        <v>4</v>
      </c>
      <c r="H2" s="46">
        <v>5</v>
      </c>
      <c r="I2" s="46">
        <v>6</v>
      </c>
      <c r="J2" s="46">
        <v>7</v>
      </c>
      <c r="K2" s="46">
        <v>8</v>
      </c>
      <c r="L2" s="46">
        <v>9</v>
      </c>
      <c r="M2" s="46">
        <v>10</v>
      </c>
      <c r="N2" s="46">
        <v>11</v>
      </c>
      <c r="O2" s="46">
        <v>12</v>
      </c>
      <c r="P2" s="46">
        <v>13</v>
      </c>
      <c r="Q2" s="46">
        <v>14</v>
      </c>
      <c r="R2" s="46">
        <v>15</v>
      </c>
      <c r="S2" s="46">
        <v>16</v>
      </c>
      <c r="T2" s="46">
        <v>17</v>
      </c>
      <c r="U2" s="46">
        <v>18</v>
      </c>
      <c r="V2" s="46">
        <v>19</v>
      </c>
      <c r="W2" s="46">
        <v>20</v>
      </c>
      <c r="X2" s="46">
        <v>21</v>
      </c>
      <c r="Y2" s="46">
        <v>22</v>
      </c>
      <c r="Z2" s="46">
        <v>23</v>
      </c>
      <c r="AA2" s="46">
        <v>24</v>
      </c>
      <c r="AB2" s="46">
        <v>25</v>
      </c>
      <c r="AC2" s="46">
        <v>26</v>
      </c>
      <c r="AD2" s="46">
        <v>27</v>
      </c>
      <c r="AE2" s="46">
        <v>28</v>
      </c>
      <c r="AF2" s="46">
        <v>29</v>
      </c>
      <c r="AG2" s="46">
        <v>30</v>
      </c>
      <c r="AH2" s="46">
        <v>31</v>
      </c>
      <c r="AI2" s="46" t="s">
        <v>188</v>
      </c>
      <c r="AJ2" s="45" t="s">
        <v>186</v>
      </c>
      <c r="AK2" s="45" t="s">
        <v>187</v>
      </c>
      <c r="AL2" s="44"/>
    </row>
    <row r="3" spans="1:38" ht="17.25" customHeight="1" x14ac:dyDescent="0.3">
      <c r="A3" s="47">
        <v>1</v>
      </c>
      <c r="B3" s="47" t="s">
        <v>46</v>
      </c>
      <c r="C3" s="47">
        <v>9</v>
      </c>
      <c r="D3" s="70" t="s">
        <v>196</v>
      </c>
      <c r="E3" s="48" t="s">
        <v>189</v>
      </c>
      <c r="F3" s="48" t="s">
        <v>79</v>
      </c>
      <c r="G3" s="48" t="s">
        <v>190</v>
      </c>
      <c r="H3" s="48" t="s">
        <v>189</v>
      </c>
      <c r="I3" s="48" t="s">
        <v>189</v>
      </c>
      <c r="J3" s="48" t="s">
        <v>189</v>
      </c>
      <c r="K3" s="70" t="s">
        <v>196</v>
      </c>
      <c r="L3" s="48" t="s">
        <v>79</v>
      </c>
      <c r="M3" s="48" t="s">
        <v>189</v>
      </c>
      <c r="N3" s="48" t="s">
        <v>190</v>
      </c>
      <c r="O3" s="48" t="s">
        <v>190</v>
      </c>
      <c r="P3" s="48" t="s">
        <v>190</v>
      </c>
      <c r="Q3" s="48" t="s">
        <v>79</v>
      </c>
      <c r="R3" s="70" t="s">
        <v>196</v>
      </c>
      <c r="S3" s="48" t="s">
        <v>189</v>
      </c>
      <c r="T3" s="48" t="s">
        <v>189</v>
      </c>
      <c r="U3" s="48" t="s">
        <v>189</v>
      </c>
      <c r="V3" s="48" t="s">
        <v>189</v>
      </c>
      <c r="W3" s="48" t="s">
        <v>189</v>
      </c>
      <c r="X3" s="48" t="s">
        <v>79</v>
      </c>
      <c r="Y3" s="70" t="s">
        <v>196</v>
      </c>
      <c r="Z3" s="48" t="s">
        <v>190</v>
      </c>
      <c r="AA3" s="48" t="s">
        <v>79</v>
      </c>
      <c r="AB3" s="48" t="s">
        <v>79</v>
      </c>
      <c r="AC3" s="48" t="s">
        <v>79</v>
      </c>
      <c r="AD3" s="48" t="s">
        <v>189</v>
      </c>
      <c r="AE3" s="48" t="s">
        <v>189</v>
      </c>
      <c r="AF3" s="70" t="s">
        <v>196</v>
      </c>
      <c r="AG3" s="48" t="s">
        <v>189</v>
      </c>
      <c r="AH3" s="48" t="s">
        <v>189</v>
      </c>
      <c r="AI3" s="47">
        <f>COUNTIF(E3:AG3,"P")</f>
        <v>13</v>
      </c>
      <c r="AJ3" s="47">
        <f>COUNTIF(F3:AH3,"A")</f>
        <v>7</v>
      </c>
      <c r="AK3" s="47">
        <f>COUNTIF(G3:AJ3,"L")</f>
        <v>5</v>
      </c>
    </row>
    <row r="4" spans="1:38" ht="17.25" customHeight="1" x14ac:dyDescent="0.3">
      <c r="A4" s="47">
        <v>2</v>
      </c>
      <c r="B4" s="47" t="s">
        <v>45</v>
      </c>
      <c r="C4" s="47">
        <v>9</v>
      </c>
      <c r="D4" s="71"/>
      <c r="E4" s="48" t="s">
        <v>189</v>
      </c>
      <c r="F4" s="48" t="s">
        <v>189</v>
      </c>
      <c r="G4" s="48" t="s">
        <v>189</v>
      </c>
      <c r="H4" s="48" t="s">
        <v>189</v>
      </c>
      <c r="I4" s="48" t="s">
        <v>189</v>
      </c>
      <c r="J4" s="48" t="s">
        <v>189</v>
      </c>
      <c r="K4" s="71"/>
      <c r="L4" s="48" t="s">
        <v>189</v>
      </c>
      <c r="M4" s="48" t="s">
        <v>189</v>
      </c>
      <c r="N4" s="48" t="s">
        <v>189</v>
      </c>
      <c r="O4" s="48" t="s">
        <v>189</v>
      </c>
      <c r="P4" s="48" t="s">
        <v>189</v>
      </c>
      <c r="Q4" s="48" t="s">
        <v>79</v>
      </c>
      <c r="R4" s="71"/>
      <c r="S4" s="48" t="s">
        <v>79</v>
      </c>
      <c r="T4" s="48" t="s">
        <v>190</v>
      </c>
      <c r="U4" s="48" t="s">
        <v>190</v>
      </c>
      <c r="V4" s="48" t="s">
        <v>190</v>
      </c>
      <c r="W4" s="48" t="s">
        <v>190</v>
      </c>
      <c r="X4" s="48" t="s">
        <v>190</v>
      </c>
      <c r="Y4" s="71"/>
      <c r="Z4" s="48" t="s">
        <v>190</v>
      </c>
      <c r="AA4" s="48" t="s">
        <v>190</v>
      </c>
      <c r="AB4" s="48" t="s">
        <v>190</v>
      </c>
      <c r="AC4" s="48" t="s">
        <v>189</v>
      </c>
      <c r="AD4" s="48" t="s">
        <v>189</v>
      </c>
      <c r="AE4" s="48" t="s">
        <v>189</v>
      </c>
      <c r="AF4" s="71"/>
      <c r="AG4" s="48" t="s">
        <v>79</v>
      </c>
      <c r="AH4" s="48" t="s">
        <v>79</v>
      </c>
      <c r="AI4" s="47">
        <f t="shared" ref="AI4:AI12" si="0">COUNTIF(E4:AG4,"P")</f>
        <v>14</v>
      </c>
      <c r="AJ4" s="47">
        <f t="shared" ref="AJ4:AJ12" si="1">COUNTIF(F4:AH4,"A")</f>
        <v>4</v>
      </c>
      <c r="AK4" s="47">
        <f t="shared" ref="AK4:AK12" si="2">COUNTIF(G4:AJ4,"L")</f>
        <v>8</v>
      </c>
    </row>
    <row r="5" spans="1:38" ht="17.25" customHeight="1" x14ac:dyDescent="0.3">
      <c r="A5" s="47">
        <v>3</v>
      </c>
      <c r="B5" s="47" t="s">
        <v>180</v>
      </c>
      <c r="C5" s="47">
        <v>9</v>
      </c>
      <c r="D5" s="71"/>
      <c r="E5" s="48" t="s">
        <v>79</v>
      </c>
      <c r="F5" s="48" t="s">
        <v>79</v>
      </c>
      <c r="G5" s="48" t="s">
        <v>79</v>
      </c>
      <c r="H5" s="48" t="s">
        <v>189</v>
      </c>
      <c r="I5" s="48" t="s">
        <v>189</v>
      </c>
      <c r="J5" s="48" t="s">
        <v>189</v>
      </c>
      <c r="K5" s="71"/>
      <c r="L5" s="48" t="s">
        <v>189</v>
      </c>
      <c r="M5" s="48" t="s">
        <v>189</v>
      </c>
      <c r="N5" s="48" t="s">
        <v>189</v>
      </c>
      <c r="O5" s="48" t="s">
        <v>189</v>
      </c>
      <c r="P5" s="48" t="s">
        <v>189</v>
      </c>
      <c r="Q5" s="48" t="s">
        <v>189</v>
      </c>
      <c r="R5" s="71"/>
      <c r="S5" s="48" t="s">
        <v>189</v>
      </c>
      <c r="T5" s="48" t="s">
        <v>189</v>
      </c>
      <c r="U5" s="48" t="s">
        <v>189</v>
      </c>
      <c r="V5" s="48" t="s">
        <v>189</v>
      </c>
      <c r="W5" s="48" t="s">
        <v>189</v>
      </c>
      <c r="X5" s="48" t="s">
        <v>189</v>
      </c>
      <c r="Y5" s="71"/>
      <c r="Z5" s="48" t="s">
        <v>189</v>
      </c>
      <c r="AA5" s="48" t="s">
        <v>189</v>
      </c>
      <c r="AB5" s="48" t="s">
        <v>189</v>
      </c>
      <c r="AC5" s="48" t="s">
        <v>189</v>
      </c>
      <c r="AD5" s="48" t="s">
        <v>189</v>
      </c>
      <c r="AE5" s="48" t="s">
        <v>189</v>
      </c>
      <c r="AF5" s="71"/>
      <c r="AG5" s="48" t="s">
        <v>79</v>
      </c>
      <c r="AH5" s="48" t="s">
        <v>79</v>
      </c>
      <c r="AI5" s="47">
        <f t="shared" si="0"/>
        <v>21</v>
      </c>
      <c r="AJ5" s="47">
        <f t="shared" si="1"/>
        <v>4</v>
      </c>
      <c r="AK5" s="47">
        <f t="shared" si="2"/>
        <v>0</v>
      </c>
    </row>
    <row r="6" spans="1:38" ht="17.25" customHeight="1" x14ac:dyDescent="0.3">
      <c r="A6" s="47">
        <v>4</v>
      </c>
      <c r="B6" s="47" t="s">
        <v>181</v>
      </c>
      <c r="C6" s="47">
        <v>9</v>
      </c>
      <c r="D6" s="71"/>
      <c r="E6" s="48" t="s">
        <v>190</v>
      </c>
      <c r="F6" s="48" t="s">
        <v>190</v>
      </c>
      <c r="G6" s="48" t="s">
        <v>190</v>
      </c>
      <c r="H6" s="48" t="s">
        <v>189</v>
      </c>
      <c r="I6" s="48" t="s">
        <v>189</v>
      </c>
      <c r="J6" s="48" t="s">
        <v>189</v>
      </c>
      <c r="K6" s="71"/>
      <c r="L6" s="48" t="s">
        <v>190</v>
      </c>
      <c r="M6" s="48" t="s">
        <v>190</v>
      </c>
      <c r="N6" s="48" t="s">
        <v>189</v>
      </c>
      <c r="O6" s="48" t="s">
        <v>189</v>
      </c>
      <c r="P6" s="48" t="s">
        <v>189</v>
      </c>
      <c r="Q6" s="48" t="s">
        <v>189</v>
      </c>
      <c r="R6" s="71"/>
      <c r="S6" s="48" t="s">
        <v>189</v>
      </c>
      <c r="T6" s="48" t="s">
        <v>189</v>
      </c>
      <c r="U6" s="48" t="s">
        <v>189</v>
      </c>
      <c r="V6" s="48" t="s">
        <v>189</v>
      </c>
      <c r="W6" s="48" t="s">
        <v>189</v>
      </c>
      <c r="X6" s="48" t="s">
        <v>189</v>
      </c>
      <c r="Y6" s="71"/>
      <c r="Z6" s="48" t="s">
        <v>79</v>
      </c>
      <c r="AA6" s="48" t="s">
        <v>79</v>
      </c>
      <c r="AB6" s="48" t="s">
        <v>189</v>
      </c>
      <c r="AC6" s="48" t="s">
        <v>189</v>
      </c>
      <c r="AD6" s="48" t="s">
        <v>189</v>
      </c>
      <c r="AE6" s="48" t="s">
        <v>189</v>
      </c>
      <c r="AF6" s="71"/>
      <c r="AG6" s="48" t="s">
        <v>190</v>
      </c>
      <c r="AH6" s="48" t="s">
        <v>190</v>
      </c>
      <c r="AI6" s="47">
        <f t="shared" si="0"/>
        <v>17</v>
      </c>
      <c r="AJ6" s="47">
        <f t="shared" si="1"/>
        <v>2</v>
      </c>
      <c r="AK6" s="47">
        <f t="shared" si="2"/>
        <v>5</v>
      </c>
    </row>
    <row r="7" spans="1:38" ht="17.25" customHeight="1" x14ac:dyDescent="0.3">
      <c r="A7" s="47">
        <v>5</v>
      </c>
      <c r="B7" s="47" t="s">
        <v>182</v>
      </c>
      <c r="C7" s="47">
        <v>9</v>
      </c>
      <c r="D7" s="71"/>
      <c r="E7" s="48" t="s">
        <v>79</v>
      </c>
      <c r="F7" s="48" t="s">
        <v>79</v>
      </c>
      <c r="G7" s="48" t="s">
        <v>79</v>
      </c>
      <c r="H7" s="48" t="s">
        <v>189</v>
      </c>
      <c r="I7" s="48" t="s">
        <v>189</v>
      </c>
      <c r="J7" s="48" t="s">
        <v>189</v>
      </c>
      <c r="K7" s="71"/>
      <c r="L7" s="48" t="s">
        <v>189</v>
      </c>
      <c r="M7" s="48" t="s">
        <v>189</v>
      </c>
      <c r="N7" s="48" t="s">
        <v>189</v>
      </c>
      <c r="O7" s="48" t="s">
        <v>189</v>
      </c>
      <c r="P7" s="48" t="s">
        <v>189</v>
      </c>
      <c r="Q7" s="48" t="s">
        <v>189</v>
      </c>
      <c r="R7" s="71"/>
      <c r="S7" s="48" t="s">
        <v>189</v>
      </c>
      <c r="T7" s="48" t="s">
        <v>189</v>
      </c>
      <c r="U7" s="48" t="s">
        <v>189</v>
      </c>
      <c r="V7" s="48" t="s">
        <v>189</v>
      </c>
      <c r="W7" s="48" t="s">
        <v>189</v>
      </c>
      <c r="X7" s="48" t="s">
        <v>189</v>
      </c>
      <c r="Y7" s="71"/>
      <c r="Z7" s="48" t="s">
        <v>189</v>
      </c>
      <c r="AA7" s="48" t="s">
        <v>189</v>
      </c>
      <c r="AB7" s="48" t="s">
        <v>189</v>
      </c>
      <c r="AC7" s="48" t="s">
        <v>189</v>
      </c>
      <c r="AD7" s="48" t="s">
        <v>189</v>
      </c>
      <c r="AE7" s="48" t="s">
        <v>189</v>
      </c>
      <c r="AF7" s="71"/>
      <c r="AG7" s="48" t="s">
        <v>79</v>
      </c>
      <c r="AH7" s="48" t="s">
        <v>79</v>
      </c>
      <c r="AI7" s="47">
        <f t="shared" si="0"/>
        <v>21</v>
      </c>
      <c r="AJ7" s="47">
        <f t="shared" si="1"/>
        <v>4</v>
      </c>
      <c r="AK7" s="47">
        <f t="shared" si="2"/>
        <v>0</v>
      </c>
    </row>
    <row r="8" spans="1:38" ht="17.25" customHeight="1" x14ac:dyDescent="0.3">
      <c r="A8" s="47">
        <v>6</v>
      </c>
      <c r="B8" s="47" t="s">
        <v>183</v>
      </c>
      <c r="C8" s="47">
        <v>9</v>
      </c>
      <c r="D8" s="71"/>
      <c r="E8" s="48" t="s">
        <v>190</v>
      </c>
      <c r="F8" s="48" t="s">
        <v>190</v>
      </c>
      <c r="G8" s="48" t="s">
        <v>190</v>
      </c>
      <c r="H8" s="48" t="s">
        <v>189</v>
      </c>
      <c r="I8" s="48" t="s">
        <v>189</v>
      </c>
      <c r="J8" s="48" t="s">
        <v>189</v>
      </c>
      <c r="K8" s="71"/>
      <c r="L8" s="48" t="s">
        <v>190</v>
      </c>
      <c r="M8" s="48" t="s">
        <v>190</v>
      </c>
      <c r="N8" s="48" t="s">
        <v>189</v>
      </c>
      <c r="O8" s="48" t="s">
        <v>189</v>
      </c>
      <c r="P8" s="48" t="s">
        <v>189</v>
      </c>
      <c r="Q8" s="48" t="s">
        <v>189</v>
      </c>
      <c r="R8" s="71"/>
      <c r="S8" s="48" t="s">
        <v>189</v>
      </c>
      <c r="T8" s="48" t="s">
        <v>189</v>
      </c>
      <c r="U8" s="48" t="s">
        <v>189</v>
      </c>
      <c r="V8" s="48" t="s">
        <v>189</v>
      </c>
      <c r="W8" s="48" t="s">
        <v>189</v>
      </c>
      <c r="X8" s="48" t="s">
        <v>189</v>
      </c>
      <c r="Y8" s="71"/>
      <c r="Z8" s="48" t="s">
        <v>79</v>
      </c>
      <c r="AA8" s="48" t="s">
        <v>79</v>
      </c>
      <c r="AB8" s="48" t="s">
        <v>189</v>
      </c>
      <c r="AC8" s="48" t="s">
        <v>189</v>
      </c>
      <c r="AD8" s="48" t="s">
        <v>189</v>
      </c>
      <c r="AE8" s="48" t="s">
        <v>189</v>
      </c>
      <c r="AF8" s="71"/>
      <c r="AG8" s="48" t="s">
        <v>190</v>
      </c>
      <c r="AH8" s="48" t="s">
        <v>190</v>
      </c>
      <c r="AI8" s="47">
        <f t="shared" si="0"/>
        <v>17</v>
      </c>
      <c r="AJ8" s="47">
        <f t="shared" si="1"/>
        <v>2</v>
      </c>
      <c r="AK8" s="47">
        <f t="shared" si="2"/>
        <v>5</v>
      </c>
    </row>
    <row r="9" spans="1:38" ht="17.25" customHeight="1" x14ac:dyDescent="0.3">
      <c r="A9" s="47">
        <v>7</v>
      </c>
      <c r="B9" s="47" t="s">
        <v>184</v>
      </c>
      <c r="C9" s="47">
        <v>9</v>
      </c>
      <c r="D9" s="71"/>
      <c r="E9" s="48" t="s">
        <v>189</v>
      </c>
      <c r="F9" s="48" t="s">
        <v>79</v>
      </c>
      <c r="G9" s="48" t="s">
        <v>190</v>
      </c>
      <c r="H9" s="48" t="s">
        <v>189</v>
      </c>
      <c r="I9" s="48" t="s">
        <v>189</v>
      </c>
      <c r="J9" s="48" t="s">
        <v>189</v>
      </c>
      <c r="K9" s="71"/>
      <c r="L9" s="48" t="s">
        <v>79</v>
      </c>
      <c r="M9" s="48" t="s">
        <v>189</v>
      </c>
      <c r="N9" s="48" t="s">
        <v>190</v>
      </c>
      <c r="O9" s="48" t="s">
        <v>190</v>
      </c>
      <c r="P9" s="48" t="s">
        <v>190</v>
      </c>
      <c r="Q9" s="48" t="s">
        <v>79</v>
      </c>
      <c r="R9" s="71"/>
      <c r="S9" s="48" t="s">
        <v>189</v>
      </c>
      <c r="T9" s="48" t="s">
        <v>189</v>
      </c>
      <c r="U9" s="48" t="s">
        <v>189</v>
      </c>
      <c r="V9" s="48" t="s">
        <v>189</v>
      </c>
      <c r="W9" s="48" t="s">
        <v>189</v>
      </c>
      <c r="X9" s="48" t="s">
        <v>79</v>
      </c>
      <c r="Y9" s="71"/>
      <c r="Z9" s="48" t="s">
        <v>190</v>
      </c>
      <c r="AA9" s="48" t="s">
        <v>79</v>
      </c>
      <c r="AB9" s="48" t="s">
        <v>79</v>
      </c>
      <c r="AC9" s="48" t="s">
        <v>79</v>
      </c>
      <c r="AD9" s="48" t="s">
        <v>189</v>
      </c>
      <c r="AE9" s="48" t="s">
        <v>189</v>
      </c>
      <c r="AF9" s="71"/>
      <c r="AG9" s="48" t="s">
        <v>189</v>
      </c>
      <c r="AH9" s="48" t="s">
        <v>189</v>
      </c>
      <c r="AI9" s="47">
        <f t="shared" si="0"/>
        <v>13</v>
      </c>
      <c r="AJ9" s="47">
        <f t="shared" si="1"/>
        <v>7</v>
      </c>
      <c r="AK9" s="47">
        <f t="shared" si="2"/>
        <v>5</v>
      </c>
    </row>
    <row r="10" spans="1:38" ht="17.25" customHeight="1" x14ac:dyDescent="0.3">
      <c r="A10" s="47">
        <v>8</v>
      </c>
      <c r="B10" s="47" t="s">
        <v>48</v>
      </c>
      <c r="C10" s="47">
        <v>9</v>
      </c>
      <c r="D10" s="71"/>
      <c r="E10" s="48" t="s">
        <v>79</v>
      </c>
      <c r="F10" s="48" t="s">
        <v>79</v>
      </c>
      <c r="G10" s="48" t="s">
        <v>79</v>
      </c>
      <c r="H10" s="48" t="s">
        <v>189</v>
      </c>
      <c r="I10" s="48" t="s">
        <v>189</v>
      </c>
      <c r="J10" s="48" t="s">
        <v>189</v>
      </c>
      <c r="K10" s="71"/>
      <c r="L10" s="48" t="s">
        <v>189</v>
      </c>
      <c r="M10" s="48" t="s">
        <v>189</v>
      </c>
      <c r="N10" s="48" t="s">
        <v>189</v>
      </c>
      <c r="O10" s="48" t="s">
        <v>189</v>
      </c>
      <c r="P10" s="48" t="s">
        <v>189</v>
      </c>
      <c r="Q10" s="48" t="s">
        <v>189</v>
      </c>
      <c r="R10" s="71"/>
      <c r="S10" s="48" t="s">
        <v>189</v>
      </c>
      <c r="T10" s="48" t="s">
        <v>189</v>
      </c>
      <c r="U10" s="48" t="s">
        <v>189</v>
      </c>
      <c r="V10" s="48" t="s">
        <v>189</v>
      </c>
      <c r="W10" s="48" t="s">
        <v>189</v>
      </c>
      <c r="X10" s="48" t="s">
        <v>189</v>
      </c>
      <c r="Y10" s="71"/>
      <c r="Z10" s="48" t="s">
        <v>189</v>
      </c>
      <c r="AA10" s="48" t="s">
        <v>189</v>
      </c>
      <c r="AB10" s="48" t="s">
        <v>189</v>
      </c>
      <c r="AC10" s="48" t="s">
        <v>189</v>
      </c>
      <c r="AD10" s="48" t="s">
        <v>189</v>
      </c>
      <c r="AE10" s="48" t="s">
        <v>189</v>
      </c>
      <c r="AF10" s="71"/>
      <c r="AG10" s="48" t="s">
        <v>79</v>
      </c>
      <c r="AH10" s="48" t="s">
        <v>79</v>
      </c>
      <c r="AI10" s="47">
        <f t="shared" si="0"/>
        <v>21</v>
      </c>
      <c r="AJ10" s="47">
        <f t="shared" si="1"/>
        <v>4</v>
      </c>
      <c r="AK10" s="47">
        <f t="shared" si="2"/>
        <v>0</v>
      </c>
    </row>
    <row r="11" spans="1:38" ht="17.25" customHeight="1" x14ac:dyDescent="0.3">
      <c r="A11" s="47">
        <v>9</v>
      </c>
      <c r="B11" s="47" t="s">
        <v>185</v>
      </c>
      <c r="C11" s="47">
        <v>9</v>
      </c>
      <c r="D11" s="71"/>
      <c r="E11" s="48" t="s">
        <v>190</v>
      </c>
      <c r="F11" s="48" t="s">
        <v>190</v>
      </c>
      <c r="G11" s="48" t="s">
        <v>190</v>
      </c>
      <c r="H11" s="48" t="s">
        <v>189</v>
      </c>
      <c r="I11" s="48" t="s">
        <v>189</v>
      </c>
      <c r="J11" s="48" t="s">
        <v>189</v>
      </c>
      <c r="K11" s="71"/>
      <c r="L11" s="48" t="s">
        <v>190</v>
      </c>
      <c r="M11" s="48" t="s">
        <v>190</v>
      </c>
      <c r="N11" s="48" t="s">
        <v>189</v>
      </c>
      <c r="O11" s="48" t="s">
        <v>189</v>
      </c>
      <c r="P11" s="48" t="s">
        <v>189</v>
      </c>
      <c r="Q11" s="48" t="s">
        <v>189</v>
      </c>
      <c r="R11" s="71"/>
      <c r="S11" s="48" t="s">
        <v>189</v>
      </c>
      <c r="T11" s="48" t="s">
        <v>189</v>
      </c>
      <c r="U11" s="48" t="s">
        <v>189</v>
      </c>
      <c r="V11" s="48" t="s">
        <v>189</v>
      </c>
      <c r="W11" s="48" t="s">
        <v>189</v>
      </c>
      <c r="X11" s="48" t="s">
        <v>189</v>
      </c>
      <c r="Y11" s="71"/>
      <c r="Z11" s="48" t="s">
        <v>79</v>
      </c>
      <c r="AA11" s="48" t="s">
        <v>79</v>
      </c>
      <c r="AB11" s="48" t="s">
        <v>189</v>
      </c>
      <c r="AC11" s="48" t="s">
        <v>189</v>
      </c>
      <c r="AD11" s="48" t="s">
        <v>189</v>
      </c>
      <c r="AE11" s="48" t="s">
        <v>189</v>
      </c>
      <c r="AF11" s="71"/>
      <c r="AG11" s="48" t="s">
        <v>190</v>
      </c>
      <c r="AH11" s="48" t="s">
        <v>190</v>
      </c>
      <c r="AI11" s="47">
        <f t="shared" si="0"/>
        <v>17</v>
      </c>
      <c r="AJ11" s="47">
        <f t="shared" si="1"/>
        <v>2</v>
      </c>
      <c r="AK11" s="47">
        <f t="shared" si="2"/>
        <v>5</v>
      </c>
    </row>
    <row r="12" spans="1:38" ht="17.25" customHeight="1" x14ac:dyDescent="0.3">
      <c r="A12" s="47">
        <v>10</v>
      </c>
      <c r="B12" s="47" t="s">
        <v>96</v>
      </c>
      <c r="C12" s="47">
        <v>9</v>
      </c>
      <c r="D12" s="72"/>
      <c r="E12" s="48" t="s">
        <v>189</v>
      </c>
      <c r="F12" s="48" t="s">
        <v>79</v>
      </c>
      <c r="G12" s="48" t="s">
        <v>190</v>
      </c>
      <c r="H12" s="48" t="s">
        <v>189</v>
      </c>
      <c r="I12" s="48" t="s">
        <v>189</v>
      </c>
      <c r="J12" s="48" t="s">
        <v>189</v>
      </c>
      <c r="K12" s="72"/>
      <c r="L12" s="48" t="s">
        <v>79</v>
      </c>
      <c r="M12" s="48" t="s">
        <v>189</v>
      </c>
      <c r="N12" s="48" t="s">
        <v>190</v>
      </c>
      <c r="O12" s="48" t="s">
        <v>190</v>
      </c>
      <c r="P12" s="48" t="s">
        <v>190</v>
      </c>
      <c r="Q12" s="48" t="s">
        <v>79</v>
      </c>
      <c r="R12" s="72"/>
      <c r="S12" s="48" t="s">
        <v>189</v>
      </c>
      <c r="T12" s="48" t="s">
        <v>189</v>
      </c>
      <c r="U12" s="48" t="s">
        <v>189</v>
      </c>
      <c r="V12" s="48" t="s">
        <v>189</v>
      </c>
      <c r="W12" s="48" t="s">
        <v>189</v>
      </c>
      <c r="X12" s="48" t="s">
        <v>79</v>
      </c>
      <c r="Y12" s="72"/>
      <c r="Z12" s="48" t="s">
        <v>190</v>
      </c>
      <c r="AA12" s="48" t="s">
        <v>79</v>
      </c>
      <c r="AB12" s="48" t="s">
        <v>79</v>
      </c>
      <c r="AC12" s="48" t="s">
        <v>79</v>
      </c>
      <c r="AD12" s="48" t="s">
        <v>189</v>
      </c>
      <c r="AE12" s="48" t="s">
        <v>189</v>
      </c>
      <c r="AF12" s="72"/>
      <c r="AG12" s="48" t="s">
        <v>189</v>
      </c>
      <c r="AH12" s="48" t="s">
        <v>189</v>
      </c>
      <c r="AI12" s="47">
        <f t="shared" si="0"/>
        <v>13</v>
      </c>
      <c r="AJ12" s="47">
        <f t="shared" si="1"/>
        <v>7</v>
      </c>
      <c r="AK12" s="47">
        <f t="shared" si="2"/>
        <v>5</v>
      </c>
    </row>
    <row r="16" spans="1:38" x14ac:dyDescent="0.25">
      <c r="B16" s="68" t="s">
        <v>192</v>
      </c>
      <c r="C16" s="68"/>
      <c r="D16" s="26">
        <f>COUNTIF(D3:D12,"P")</f>
        <v>0</v>
      </c>
      <c r="E16" s="26">
        <f t="shared" ref="E16:AH16" si="3">COUNTIF(E3:E12,"P")</f>
        <v>4</v>
      </c>
      <c r="F16" s="26">
        <f t="shared" si="3"/>
        <v>1</v>
      </c>
      <c r="G16" s="26">
        <f t="shared" si="3"/>
        <v>1</v>
      </c>
      <c r="H16" s="26">
        <f t="shared" si="3"/>
        <v>10</v>
      </c>
      <c r="I16" s="26">
        <f t="shared" si="3"/>
        <v>10</v>
      </c>
      <c r="J16" s="26">
        <f t="shared" si="3"/>
        <v>10</v>
      </c>
      <c r="K16" s="26">
        <f t="shared" si="3"/>
        <v>0</v>
      </c>
      <c r="L16" s="26">
        <f t="shared" si="3"/>
        <v>4</v>
      </c>
      <c r="M16" s="26">
        <f t="shared" si="3"/>
        <v>7</v>
      </c>
      <c r="N16" s="26">
        <f t="shared" si="3"/>
        <v>7</v>
      </c>
      <c r="O16" s="26">
        <f t="shared" si="3"/>
        <v>7</v>
      </c>
      <c r="P16" s="26">
        <f t="shared" si="3"/>
        <v>7</v>
      </c>
      <c r="Q16" s="26">
        <f t="shared" si="3"/>
        <v>6</v>
      </c>
      <c r="R16" s="26">
        <f t="shared" si="3"/>
        <v>0</v>
      </c>
      <c r="S16" s="26">
        <f t="shared" si="3"/>
        <v>9</v>
      </c>
      <c r="T16" s="26">
        <f t="shared" si="3"/>
        <v>9</v>
      </c>
      <c r="U16" s="26">
        <f t="shared" si="3"/>
        <v>9</v>
      </c>
      <c r="V16" s="26">
        <f t="shared" si="3"/>
        <v>9</v>
      </c>
      <c r="W16" s="26">
        <f t="shared" si="3"/>
        <v>9</v>
      </c>
      <c r="X16" s="26">
        <f t="shared" si="3"/>
        <v>6</v>
      </c>
      <c r="Y16" s="26">
        <f t="shared" si="3"/>
        <v>0</v>
      </c>
      <c r="Z16" s="26">
        <f t="shared" si="3"/>
        <v>3</v>
      </c>
      <c r="AA16" s="26">
        <f t="shared" si="3"/>
        <v>3</v>
      </c>
      <c r="AB16" s="26">
        <f t="shared" si="3"/>
        <v>6</v>
      </c>
      <c r="AC16" s="26">
        <f t="shared" si="3"/>
        <v>7</v>
      </c>
      <c r="AD16" s="26">
        <f t="shared" si="3"/>
        <v>10</v>
      </c>
      <c r="AE16" s="26">
        <f t="shared" si="3"/>
        <v>10</v>
      </c>
      <c r="AF16" s="26">
        <f t="shared" si="3"/>
        <v>0</v>
      </c>
      <c r="AG16" s="26">
        <f t="shared" si="3"/>
        <v>3</v>
      </c>
      <c r="AH16" s="26">
        <f t="shared" si="3"/>
        <v>3</v>
      </c>
    </row>
    <row r="17" spans="2:34" x14ac:dyDescent="0.25">
      <c r="B17" s="68" t="s">
        <v>193</v>
      </c>
      <c r="C17" s="68"/>
      <c r="D17" s="26">
        <f>COUNTIF(D3:D13,"A")</f>
        <v>0</v>
      </c>
      <c r="E17" s="26">
        <f t="shared" ref="E17:AH17" si="4">COUNTIF(E3:E13,"A")</f>
        <v>3</v>
      </c>
      <c r="F17" s="26">
        <f t="shared" si="4"/>
        <v>6</v>
      </c>
      <c r="G17" s="26">
        <f t="shared" si="4"/>
        <v>3</v>
      </c>
      <c r="H17" s="26">
        <f t="shared" si="4"/>
        <v>0</v>
      </c>
      <c r="I17" s="26">
        <f t="shared" si="4"/>
        <v>0</v>
      </c>
      <c r="J17" s="26">
        <f t="shared" si="4"/>
        <v>0</v>
      </c>
      <c r="K17" s="26">
        <f t="shared" si="4"/>
        <v>0</v>
      </c>
      <c r="L17" s="26">
        <f t="shared" si="4"/>
        <v>3</v>
      </c>
      <c r="M17" s="26">
        <f t="shared" si="4"/>
        <v>0</v>
      </c>
      <c r="N17" s="26">
        <f t="shared" si="4"/>
        <v>0</v>
      </c>
      <c r="O17" s="26">
        <f t="shared" si="4"/>
        <v>0</v>
      </c>
      <c r="P17" s="26">
        <f t="shared" si="4"/>
        <v>0</v>
      </c>
      <c r="Q17" s="26">
        <f t="shared" si="4"/>
        <v>4</v>
      </c>
      <c r="R17" s="26">
        <f t="shared" si="4"/>
        <v>0</v>
      </c>
      <c r="S17" s="26">
        <f t="shared" si="4"/>
        <v>1</v>
      </c>
      <c r="T17" s="26">
        <f t="shared" si="4"/>
        <v>0</v>
      </c>
      <c r="U17" s="26">
        <f t="shared" si="4"/>
        <v>0</v>
      </c>
      <c r="V17" s="26">
        <f t="shared" si="4"/>
        <v>0</v>
      </c>
      <c r="W17" s="26">
        <f t="shared" si="4"/>
        <v>0</v>
      </c>
      <c r="X17" s="26">
        <f t="shared" si="4"/>
        <v>3</v>
      </c>
      <c r="Y17" s="26">
        <f t="shared" si="4"/>
        <v>0</v>
      </c>
      <c r="Z17" s="26">
        <f t="shared" si="4"/>
        <v>3</v>
      </c>
      <c r="AA17" s="26">
        <f t="shared" si="4"/>
        <v>6</v>
      </c>
      <c r="AB17" s="26">
        <f t="shared" si="4"/>
        <v>3</v>
      </c>
      <c r="AC17" s="26">
        <f t="shared" si="4"/>
        <v>3</v>
      </c>
      <c r="AD17" s="26">
        <f t="shared" si="4"/>
        <v>0</v>
      </c>
      <c r="AE17" s="26">
        <f t="shared" si="4"/>
        <v>0</v>
      </c>
      <c r="AF17" s="26">
        <f t="shared" si="4"/>
        <v>0</v>
      </c>
      <c r="AG17" s="26">
        <f t="shared" si="4"/>
        <v>4</v>
      </c>
      <c r="AH17" s="26">
        <f t="shared" si="4"/>
        <v>4</v>
      </c>
    </row>
    <row r="18" spans="2:34" x14ac:dyDescent="0.25">
      <c r="B18" s="68" t="s">
        <v>194</v>
      </c>
      <c r="C18" s="68"/>
      <c r="D18" s="26">
        <f>COUNTIF(D4:D14,"L")</f>
        <v>0</v>
      </c>
      <c r="E18" s="26">
        <f t="shared" ref="E18:AH18" si="5">COUNTIF(E4:E14,"L")</f>
        <v>3</v>
      </c>
      <c r="F18" s="26">
        <f t="shared" si="5"/>
        <v>3</v>
      </c>
      <c r="G18" s="26">
        <f t="shared" si="5"/>
        <v>5</v>
      </c>
      <c r="H18" s="26">
        <f t="shared" si="5"/>
        <v>0</v>
      </c>
      <c r="I18" s="26">
        <f t="shared" si="5"/>
        <v>0</v>
      </c>
      <c r="J18" s="26">
        <f t="shared" si="5"/>
        <v>0</v>
      </c>
      <c r="K18" s="26">
        <f t="shared" si="5"/>
        <v>0</v>
      </c>
      <c r="L18" s="26">
        <f t="shared" si="5"/>
        <v>3</v>
      </c>
      <c r="M18" s="26">
        <f t="shared" si="5"/>
        <v>3</v>
      </c>
      <c r="N18" s="26">
        <f t="shared" si="5"/>
        <v>2</v>
      </c>
      <c r="O18" s="26">
        <f t="shared" si="5"/>
        <v>2</v>
      </c>
      <c r="P18" s="26">
        <f t="shared" si="5"/>
        <v>2</v>
      </c>
      <c r="Q18" s="26">
        <f t="shared" si="5"/>
        <v>0</v>
      </c>
      <c r="R18" s="26">
        <f t="shared" si="5"/>
        <v>0</v>
      </c>
      <c r="S18" s="26">
        <f t="shared" si="5"/>
        <v>0</v>
      </c>
      <c r="T18" s="26">
        <f t="shared" si="5"/>
        <v>1</v>
      </c>
      <c r="U18" s="26">
        <f t="shared" si="5"/>
        <v>1</v>
      </c>
      <c r="V18" s="26">
        <f t="shared" si="5"/>
        <v>1</v>
      </c>
      <c r="W18" s="26">
        <f t="shared" si="5"/>
        <v>1</v>
      </c>
      <c r="X18" s="26">
        <f t="shared" si="5"/>
        <v>1</v>
      </c>
      <c r="Y18" s="26">
        <f t="shared" si="5"/>
        <v>0</v>
      </c>
      <c r="Z18" s="26">
        <f t="shared" si="5"/>
        <v>3</v>
      </c>
      <c r="AA18" s="26">
        <f t="shared" si="5"/>
        <v>1</v>
      </c>
      <c r="AB18" s="26">
        <f t="shared" si="5"/>
        <v>1</v>
      </c>
      <c r="AC18" s="26">
        <f t="shared" si="5"/>
        <v>0</v>
      </c>
      <c r="AD18" s="26">
        <f t="shared" si="5"/>
        <v>0</v>
      </c>
      <c r="AE18" s="26">
        <f t="shared" si="5"/>
        <v>0</v>
      </c>
      <c r="AF18" s="26">
        <f t="shared" si="5"/>
        <v>0</v>
      </c>
      <c r="AG18" s="26">
        <f t="shared" si="5"/>
        <v>3</v>
      </c>
      <c r="AH18" s="26">
        <f t="shared" si="5"/>
        <v>3</v>
      </c>
    </row>
    <row r="19" spans="2:34" x14ac:dyDescent="0.25">
      <c r="B19" s="69"/>
      <c r="C19" s="69"/>
    </row>
  </sheetData>
  <mergeCells count="10">
    <mergeCell ref="A1:AL1"/>
    <mergeCell ref="B16:C16"/>
    <mergeCell ref="B17:C17"/>
    <mergeCell ref="B18:C18"/>
    <mergeCell ref="B19:C19"/>
    <mergeCell ref="D3:D12"/>
    <mergeCell ref="K3:K12"/>
    <mergeCell ref="R3:R12"/>
    <mergeCell ref="Y3:Y12"/>
    <mergeCell ref="AF3:AF12"/>
  </mergeCells>
  <conditionalFormatting sqref="E3:J12 L3:Q12 S3:X12 Z3:AE12 AG3:AH12">
    <cfRule type="containsText" dxfId="3" priority="1" operator="containsText" text="L">
      <formula>NOT(ISERROR(SEARCH("L",E3)))</formula>
    </cfRule>
    <cfRule type="containsText" dxfId="2" priority="2" operator="containsText" text="A">
      <formula>NOT(ISERROR(SEARCH("A",E3)))</formula>
    </cfRule>
    <cfRule type="containsText" dxfId="1" priority="3" operator="containsText" text="P">
      <formula>NOT(ISERROR(SEARCH("P",E3)))</formula>
    </cfRule>
  </conditionalFormatting>
  <conditionalFormatting sqref="Q25">
    <cfRule type="containsText" dxfId="0" priority="5" operator="containsText" text="P">
      <formula>NOT(ISERROR(SEARCH("P",Q25)))</formula>
    </cfRule>
  </conditionalFormatting>
  <pageMargins left="0.25" right="0.25"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Lec 1</vt:lpstr>
      <vt:lpstr>Sales tracker</vt:lpstr>
      <vt:lpstr>Marksheet</vt:lpstr>
      <vt:lpstr>IFs</vt:lpstr>
      <vt:lpstr>SUM product</vt:lpstr>
      <vt:lpstr>Payroll sheet</vt:lpstr>
      <vt:lpstr>xlookup</vt:lpstr>
      <vt:lpstr>Pivot tables</vt:lpstr>
      <vt:lpstr>SLICER</vt:lpstr>
      <vt:lpstr>PIVOT CHARTS</vt:lpstr>
      <vt:lpstr>Pivot_chart</vt:lpstr>
      <vt:lpstr>PMT</vt:lpstr>
      <vt:lpstr>Index Formula</vt:lpstr>
      <vt:lpstr>Rand</vt:lpstr>
      <vt:lpstr>Attendance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Manal Asghar</dc:creator>
  <cp:lastModifiedBy>Manal Asghar</cp:lastModifiedBy>
  <cp:lastPrinted>2026-02-16T15:44:49Z</cp:lastPrinted>
  <dcterms:created xsi:type="dcterms:W3CDTF">2026-02-16T08:18:46Z</dcterms:created>
  <dcterms:modified xsi:type="dcterms:W3CDTF">2026-02-17T08:00:03Z</dcterms:modified>
</cp:coreProperties>
</file>